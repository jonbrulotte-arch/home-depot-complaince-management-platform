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sproducts0-my.sharepoint.com/personal/jbrulotte_jsproducts_com/Documents/Reports/Jon Brulotte - Reports/THD-DFDC/Compliance/Monthly Compliance Report/Data/2025/Aug-2025/"/>
    </mc:Choice>
  </mc:AlternateContent>
  <xr:revisionPtr revIDLastSave="41" documentId="11_0D8F861A65F9BD7F986002D620D3B689A02C4AE6" xr6:coauthVersionLast="47" xr6:coauthVersionMax="47" xr10:uidLastSave="{71AB2B96-C38A-4F03-A14A-771AAE5CB1F7}"/>
  <bookViews>
    <workbookView xWindow="-120" yWindow="-120" windowWidth="29040" windowHeight="15720" xr2:uid="{00000000-000D-0000-FFFF-FFFF00000000}"/>
  </bookViews>
  <sheets>
    <sheet name="On Time" sheetId="1" r:id="rId1"/>
  </sheets>
  <definedNames>
    <definedName name="_xlnm._FilterDatabase" localSheetId="0" hidden="1">'On Time'!$A$1:$AC$1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1" l="1"/>
  <c r="W23" i="1"/>
  <c r="W18" i="1"/>
  <c r="W15" i="1"/>
  <c r="W11" i="1"/>
  <c r="W6" i="1"/>
</calcChain>
</file>

<file path=xl/sharedStrings.xml><?xml version="1.0" encoding="utf-8"?>
<sst xmlns="http://schemas.openxmlformats.org/spreadsheetml/2006/main" count="505" uniqueCount="97">
  <si>
    <t>Status</t>
  </si>
  <si>
    <t>Fiscal Month</t>
  </si>
  <si>
    <t>P-Vendor #</t>
  </si>
  <si>
    <t>M-Vendor #</t>
  </si>
  <si>
    <t>M-Vendor Name</t>
  </si>
  <si>
    <t>Dept Number</t>
  </si>
  <si>
    <t>PO Number</t>
  </si>
  <si>
    <t>PO Create Date</t>
  </si>
  <si>
    <t>DC Number</t>
  </si>
  <si>
    <t>SKU Number</t>
  </si>
  <si>
    <t>Vendor SKU</t>
  </si>
  <si>
    <t>SKU Description</t>
  </si>
  <si>
    <t>Estimated Ship Date</t>
  </si>
  <si>
    <t>Estimated Delivery Date</t>
  </si>
  <si>
    <t>RTS Sent</t>
  </si>
  <si>
    <t>Pick Up Request Date</t>
  </si>
  <si>
    <t>BOL Number</t>
  </si>
  <si>
    <t>TMS ID #/Freight Bill #</t>
  </si>
  <si>
    <t>Freight Terms</t>
  </si>
  <si>
    <t>ASN Received Timestamp</t>
  </si>
  <si>
    <t>Trailer Check-In</t>
  </si>
  <si>
    <t>Late Reason</t>
  </si>
  <si>
    <t>Offset</t>
  </si>
  <si>
    <t>Shipment Number</t>
  </si>
  <si>
    <t>Actual Shipment Date</t>
  </si>
  <si>
    <t>ASN Transmission Timestamp</t>
  </si>
  <si>
    <t>Dispute Reason</t>
  </si>
  <si>
    <t>Attachment</t>
  </si>
  <si>
    <t>Supplier Comment</t>
  </si>
  <si>
    <t>Not Disputed</t>
  </si>
  <si>
    <t>202505</t>
  </si>
  <si>
    <t>875062</t>
  </si>
  <si>
    <t>20632</t>
  </si>
  <si>
    <t>JS PRODUCTS</t>
  </si>
  <si>
    <t>23</t>
  </si>
  <si>
    <t>1026542112</t>
  </si>
  <si>
    <t>06/03/2025</t>
  </si>
  <si>
    <t>5829</t>
  </si>
  <si>
    <t>1003043977</t>
  </si>
  <si>
    <t>56831</t>
  </si>
  <si>
    <t>DEWALT 4FT RACK W/ SOLID</t>
  </si>
  <si>
    <t>06/10/2025</t>
  </si>
  <si>
    <t>06/20/2025</t>
  </si>
  <si>
    <t>06/06/2025 12:00 PM</t>
  </si>
  <si>
    <t>06/11/2025</t>
  </si>
  <si>
    <t>00000000030489073</t>
  </si>
  <si>
    <t>229730245</t>
  </si>
  <si>
    <t>C</t>
  </si>
  <si>
    <t>Not Available</t>
  </si>
  <si>
    <t>07/02/2025 10:55 AM</t>
  </si>
  <si>
    <t>LATE RTS</t>
  </si>
  <si>
    <t>06/10/2025 10:04 AM</t>
  </si>
  <si>
    <t>--</t>
  </si>
  <si>
    <t>1002977048</t>
  </si>
  <si>
    <t>41561</t>
  </si>
  <si>
    <t>SWIVEL SHOP STOOL WITH SHELF</t>
  </si>
  <si>
    <t>1002977047</t>
  </si>
  <si>
    <t>41562</t>
  </si>
  <si>
    <t>24 IN. H X 16 IN. W X 16 IN. D ADJUS</t>
  </si>
  <si>
    <t>1004144945</t>
  </si>
  <si>
    <t>41600</t>
  </si>
  <si>
    <t>CORD MINDER BRACKET SET FOR DXST IND</t>
  </si>
  <si>
    <t>1026560810</t>
  </si>
  <si>
    <t>6707</t>
  </si>
  <si>
    <t>00000000030489400</t>
  </si>
  <si>
    <t>229730242</t>
  </si>
  <si>
    <t>06/13/2025 10:40 PM</t>
  </si>
  <si>
    <t>06/10/2025 11:03 AM</t>
  </si>
  <si>
    <t>1002989680</t>
  </si>
  <si>
    <t>41564</t>
  </si>
  <si>
    <t>4 IN. X 5 IN. X 7 IN. MAGNETIC PARTS</t>
  </si>
  <si>
    <t>1028762675</t>
  </si>
  <si>
    <t>5832</t>
  </si>
  <si>
    <t>06/17/2025</t>
  </si>
  <si>
    <t>06/27/2025</t>
  </si>
  <si>
    <t>06/13/2025 02:30 PM</t>
  </si>
  <si>
    <t>06/18/2025</t>
  </si>
  <si>
    <t>00000000030554818</t>
  </si>
  <si>
    <t>229792369</t>
  </si>
  <si>
    <t>07/04/2025 06:39 PM</t>
  </si>
  <si>
    <t>06/17/2025 11:04 AM</t>
  </si>
  <si>
    <t>1002988748</t>
  </si>
  <si>
    <t>41568</t>
  </si>
  <si>
    <t>ADJUSTABLE LEVELING FLOOR MOUNTING P</t>
  </si>
  <si>
    <t>1028762694</t>
  </si>
  <si>
    <t>5823</t>
  </si>
  <si>
    <t>00000000030576353</t>
  </si>
  <si>
    <t>229792323</t>
  </si>
  <si>
    <t>06/21/2025 09:21 AM</t>
  </si>
  <si>
    <t>06/18/2025 12:54 PM</t>
  </si>
  <si>
    <t>1002989679</t>
  </si>
  <si>
    <t>41589</t>
  </si>
  <si>
    <t>36 IN. H X 12 IN. D WALL MOUNT CANTI</t>
  </si>
  <si>
    <t>1028788970</t>
  </si>
  <si>
    <t>00000000030576377</t>
  </si>
  <si>
    <t>229792311</t>
  </si>
  <si>
    <t>06/26/2025 12:29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</si>
</sst>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44" fontId="2" fillId="0" borderId="0" xfId="1" applyFont="1" applyBorder="1"/>
    <xf numFmtId="44" fontId="2" fillId="0" borderId="0" xfId="0" applyNumberFormat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workbookViewId="0">
      <selection activeCell="N26" sqref="N26:N30"/>
    </sheetView>
  </sheetViews>
  <sheetFormatPr defaultRowHeight="15" x14ac:dyDescent="0.25"/>
  <cols>
    <col min="7" max="7" width="10.875" bestFit="1" customWidth="1"/>
    <col min="8" max="8" width="13.625" bestFit="1" customWidth="1"/>
    <col min="10" max="10" width="10.875" bestFit="1" customWidth="1"/>
    <col min="13" max="13" width="17.5" bestFit="1" customWidth="1"/>
    <col min="14" max="14" width="20.75" bestFit="1" customWidth="1"/>
    <col min="15" max="15" width="18.75" bestFit="1" customWidth="1"/>
    <col min="16" max="16" width="18.625" bestFit="1" customWidth="1"/>
    <col min="18" max="18" width="19.375" bestFit="1" customWidth="1"/>
    <col min="23" max="23" width="10.125" bestFit="1" customWidth="1"/>
  </cols>
  <sheetData>
    <row r="1" spans="1:29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s="2" customFormat="1" ht="15.75" x14ac:dyDescent="0.25">
      <c r="A2" s="1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>
        <v>265.63200000000001</v>
      </c>
      <c r="X2" s="2" t="s">
        <v>46</v>
      </c>
      <c r="Y2" s="2" t="s">
        <v>44</v>
      </c>
      <c r="Z2" s="2" t="s">
        <v>51</v>
      </c>
      <c r="AC2" s="2" t="s">
        <v>52</v>
      </c>
    </row>
    <row r="3" spans="1:29" s="4" customFormat="1" ht="15.75" x14ac:dyDescent="0.25">
      <c r="A3" s="3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  <c r="I3" s="4" t="s">
        <v>37</v>
      </c>
      <c r="J3" s="4" t="s">
        <v>53</v>
      </c>
      <c r="K3" s="4" t="s">
        <v>54</v>
      </c>
      <c r="L3" s="4" t="s">
        <v>55</v>
      </c>
      <c r="M3" s="4" t="s">
        <v>41</v>
      </c>
      <c r="N3" s="4" t="s">
        <v>42</v>
      </c>
      <c r="O3" s="4" t="s">
        <v>43</v>
      </c>
      <c r="P3" s="4" t="s">
        <v>44</v>
      </c>
      <c r="Q3" s="4" t="s">
        <v>45</v>
      </c>
      <c r="R3" s="4" t="s">
        <v>46</v>
      </c>
      <c r="S3" s="4" t="s">
        <v>47</v>
      </c>
      <c r="T3" s="4" t="s">
        <v>48</v>
      </c>
      <c r="U3" s="4" t="s">
        <v>49</v>
      </c>
      <c r="V3" s="4" t="s">
        <v>50</v>
      </c>
      <c r="W3" s="4">
        <v>105.264</v>
      </c>
      <c r="X3" s="4" t="s">
        <v>46</v>
      </c>
      <c r="Y3" s="4" t="s">
        <v>44</v>
      </c>
      <c r="Z3" s="4" t="s">
        <v>51</v>
      </c>
      <c r="AC3" s="4" t="s">
        <v>52</v>
      </c>
    </row>
    <row r="4" spans="1:29" s="4" customFormat="1" ht="15.75" x14ac:dyDescent="0.25">
      <c r="A4" s="3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56</v>
      </c>
      <c r="K4" s="4" t="s">
        <v>57</v>
      </c>
      <c r="L4" s="4" t="s">
        <v>58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>
        <v>606.024</v>
      </c>
      <c r="X4" s="4" t="s">
        <v>46</v>
      </c>
      <c r="Y4" s="4" t="s">
        <v>44</v>
      </c>
      <c r="Z4" s="4" t="s">
        <v>51</v>
      </c>
      <c r="AC4" s="4" t="s">
        <v>52</v>
      </c>
    </row>
    <row r="5" spans="1:29" s="6" customFormat="1" ht="16.5" thickBot="1" x14ac:dyDescent="0.3">
      <c r="A5" s="5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36</v>
      </c>
      <c r="I5" s="6" t="s">
        <v>37</v>
      </c>
      <c r="J5" s="6" t="s">
        <v>59</v>
      </c>
      <c r="K5" s="6" t="s">
        <v>60</v>
      </c>
      <c r="L5" s="6" t="s">
        <v>61</v>
      </c>
      <c r="M5" s="6" t="s">
        <v>41</v>
      </c>
      <c r="N5" s="6" t="s">
        <v>42</v>
      </c>
      <c r="O5" s="6" t="s">
        <v>43</v>
      </c>
      <c r="P5" s="6" t="s">
        <v>44</v>
      </c>
      <c r="Q5" s="6" t="s">
        <v>45</v>
      </c>
      <c r="R5" s="6" t="s">
        <v>46</v>
      </c>
      <c r="S5" s="6" t="s">
        <v>47</v>
      </c>
      <c r="T5" s="6" t="s">
        <v>48</v>
      </c>
      <c r="U5" s="6" t="s">
        <v>49</v>
      </c>
      <c r="V5" s="6" t="s">
        <v>50</v>
      </c>
      <c r="W5" s="6">
        <v>23.184000000000001</v>
      </c>
      <c r="X5" s="6" t="s">
        <v>46</v>
      </c>
      <c r="Y5" s="6" t="s">
        <v>44</v>
      </c>
      <c r="Z5" s="6" t="s">
        <v>51</v>
      </c>
      <c r="AC5" s="6" t="s">
        <v>52</v>
      </c>
    </row>
    <row r="6" spans="1:29" s="4" customFormat="1" ht="16.5" thickBot="1" x14ac:dyDescent="0.3">
      <c r="A6" s="3"/>
      <c r="W6" s="7">
        <f>SUM(W2:W5)</f>
        <v>1000.104</v>
      </c>
    </row>
    <row r="7" spans="1:29" s="2" customFormat="1" ht="15.75" x14ac:dyDescent="0.25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62</v>
      </c>
      <c r="H7" s="2" t="s">
        <v>36</v>
      </c>
      <c r="I7" s="2" t="s">
        <v>63</v>
      </c>
      <c r="J7" s="2" t="s">
        <v>56</v>
      </c>
      <c r="K7" s="2" t="s">
        <v>57</v>
      </c>
      <c r="L7" s="2" t="s">
        <v>58</v>
      </c>
      <c r="M7" s="2" t="s">
        <v>41</v>
      </c>
      <c r="N7" s="2" t="s">
        <v>42</v>
      </c>
      <c r="O7" s="2" t="s">
        <v>43</v>
      </c>
      <c r="P7" s="2" t="s">
        <v>44</v>
      </c>
      <c r="Q7" s="2" t="s">
        <v>64</v>
      </c>
      <c r="R7" s="2" t="s">
        <v>65</v>
      </c>
      <c r="S7" s="2" t="s">
        <v>47</v>
      </c>
      <c r="T7" s="2" t="s">
        <v>48</v>
      </c>
      <c r="U7" s="2" t="s">
        <v>66</v>
      </c>
      <c r="V7" s="2" t="s">
        <v>50</v>
      </c>
      <c r="W7" s="2">
        <v>202.00800000000001</v>
      </c>
      <c r="X7" s="2" t="s">
        <v>65</v>
      </c>
      <c r="Y7" s="2" t="s">
        <v>44</v>
      </c>
      <c r="Z7" s="2" t="s">
        <v>67</v>
      </c>
      <c r="AC7" s="2" t="s">
        <v>52</v>
      </c>
    </row>
    <row r="8" spans="1:29" s="4" customFormat="1" ht="15.75" x14ac:dyDescent="0.25">
      <c r="A8" s="3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62</v>
      </c>
      <c r="H8" s="4" t="s">
        <v>36</v>
      </c>
      <c r="I8" s="4" t="s">
        <v>63</v>
      </c>
      <c r="J8" s="4" t="s">
        <v>53</v>
      </c>
      <c r="K8" s="4" t="s">
        <v>54</v>
      </c>
      <c r="L8" s="4" t="s">
        <v>55</v>
      </c>
      <c r="M8" s="4" t="s">
        <v>41</v>
      </c>
      <c r="N8" s="4" t="s">
        <v>42</v>
      </c>
      <c r="O8" s="4" t="s">
        <v>43</v>
      </c>
      <c r="P8" s="4" t="s">
        <v>44</v>
      </c>
      <c r="Q8" s="4" t="s">
        <v>64</v>
      </c>
      <c r="R8" s="4" t="s">
        <v>65</v>
      </c>
      <c r="S8" s="4" t="s">
        <v>47</v>
      </c>
      <c r="T8" s="4" t="s">
        <v>48</v>
      </c>
      <c r="U8" s="4" t="s">
        <v>66</v>
      </c>
      <c r="V8" s="4" t="s">
        <v>50</v>
      </c>
      <c r="W8" s="4">
        <v>210.52799999999999</v>
      </c>
      <c r="X8" s="4" t="s">
        <v>65</v>
      </c>
      <c r="Y8" s="4" t="s">
        <v>44</v>
      </c>
      <c r="Z8" s="4" t="s">
        <v>67</v>
      </c>
      <c r="AC8" s="4" t="s">
        <v>52</v>
      </c>
    </row>
    <row r="9" spans="1:29" s="4" customFormat="1" ht="15.75" x14ac:dyDescent="0.25">
      <c r="A9" s="3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62</v>
      </c>
      <c r="H9" s="4" t="s">
        <v>36</v>
      </c>
      <c r="I9" s="4" t="s">
        <v>63</v>
      </c>
      <c r="J9" s="4" t="s">
        <v>38</v>
      </c>
      <c r="K9" s="4" t="s">
        <v>39</v>
      </c>
      <c r="L9" s="4" t="s">
        <v>40</v>
      </c>
      <c r="M9" s="4" t="s">
        <v>41</v>
      </c>
      <c r="N9" s="4" t="s">
        <v>42</v>
      </c>
      <c r="O9" s="4" t="s">
        <v>43</v>
      </c>
      <c r="P9" s="4" t="s">
        <v>44</v>
      </c>
      <c r="Q9" s="4" t="s">
        <v>64</v>
      </c>
      <c r="R9" s="4" t="s">
        <v>65</v>
      </c>
      <c r="S9" s="4" t="s">
        <v>47</v>
      </c>
      <c r="T9" s="4" t="s">
        <v>48</v>
      </c>
      <c r="U9" s="4" t="s">
        <v>66</v>
      </c>
      <c r="V9" s="4" t="s">
        <v>50</v>
      </c>
      <c r="W9" s="4">
        <v>265.63200000000001</v>
      </c>
      <c r="X9" s="4" t="s">
        <v>65</v>
      </c>
      <c r="Y9" s="4" t="s">
        <v>44</v>
      </c>
      <c r="Z9" s="4" t="s">
        <v>67</v>
      </c>
      <c r="AC9" s="4" t="s">
        <v>52</v>
      </c>
    </row>
    <row r="10" spans="1:29" s="6" customFormat="1" ht="16.5" thickBot="1" x14ac:dyDescent="0.3">
      <c r="A10" s="5" t="s">
        <v>29</v>
      </c>
      <c r="B10" s="6" t="s">
        <v>30</v>
      </c>
      <c r="C10" s="6" t="s">
        <v>31</v>
      </c>
      <c r="D10" s="6" t="s">
        <v>32</v>
      </c>
      <c r="E10" s="6" t="s">
        <v>33</v>
      </c>
      <c r="F10" s="6" t="s">
        <v>34</v>
      </c>
      <c r="G10" s="6" t="s">
        <v>62</v>
      </c>
      <c r="H10" s="6" t="s">
        <v>36</v>
      </c>
      <c r="I10" s="6" t="s">
        <v>63</v>
      </c>
      <c r="J10" s="6" t="s">
        <v>68</v>
      </c>
      <c r="K10" s="6" t="s">
        <v>69</v>
      </c>
      <c r="L10" s="6" t="s">
        <v>70</v>
      </c>
      <c r="M10" s="6" t="s">
        <v>41</v>
      </c>
      <c r="N10" s="6" t="s">
        <v>42</v>
      </c>
      <c r="O10" s="6" t="s">
        <v>43</v>
      </c>
      <c r="P10" s="6" t="s">
        <v>44</v>
      </c>
      <c r="Q10" s="6" t="s">
        <v>64</v>
      </c>
      <c r="R10" s="6" t="s">
        <v>65</v>
      </c>
      <c r="S10" s="6" t="s">
        <v>47</v>
      </c>
      <c r="T10" s="6" t="s">
        <v>48</v>
      </c>
      <c r="U10" s="6" t="s">
        <v>66</v>
      </c>
      <c r="V10" s="6" t="s">
        <v>50</v>
      </c>
      <c r="W10" s="6">
        <v>4.056</v>
      </c>
      <c r="X10" s="6" t="s">
        <v>65</v>
      </c>
      <c r="Y10" s="6" t="s">
        <v>44</v>
      </c>
      <c r="Z10" s="6" t="s">
        <v>67</v>
      </c>
      <c r="AC10" s="6" t="s">
        <v>52</v>
      </c>
    </row>
    <row r="11" spans="1:29" s="4" customFormat="1" ht="16.5" thickBot="1" x14ac:dyDescent="0.3">
      <c r="A11" s="3"/>
      <c r="W11" s="7">
        <f>SUM(W7:W10)</f>
        <v>682.22400000000005</v>
      </c>
    </row>
    <row r="12" spans="1:29" s="2" customFormat="1" ht="15.75" x14ac:dyDescent="0.25">
      <c r="A12" s="1" t="s">
        <v>29</v>
      </c>
      <c r="B12" s="2" t="s">
        <v>30</v>
      </c>
      <c r="C12" s="2" t="s">
        <v>31</v>
      </c>
      <c r="D12" s="2" t="s">
        <v>32</v>
      </c>
      <c r="E12" s="2" t="s">
        <v>33</v>
      </c>
      <c r="F12" s="2" t="s">
        <v>34</v>
      </c>
      <c r="G12" s="2" t="s">
        <v>71</v>
      </c>
      <c r="H12" s="2" t="s">
        <v>41</v>
      </c>
      <c r="I12" s="2" t="s">
        <v>72</v>
      </c>
      <c r="J12" s="2" t="s">
        <v>59</v>
      </c>
      <c r="K12" s="2" t="s">
        <v>60</v>
      </c>
      <c r="L12" s="2" t="s">
        <v>61</v>
      </c>
      <c r="M12" s="2" t="s">
        <v>73</v>
      </c>
      <c r="N12" s="2" t="s">
        <v>74</v>
      </c>
      <c r="O12" s="2" t="s">
        <v>75</v>
      </c>
      <c r="P12" s="2" t="s">
        <v>76</v>
      </c>
      <c r="Q12" s="2" t="s">
        <v>77</v>
      </c>
      <c r="R12" s="2" t="s">
        <v>78</v>
      </c>
      <c r="S12" s="2" t="s">
        <v>47</v>
      </c>
      <c r="T12" s="2" t="s">
        <v>48</v>
      </c>
      <c r="U12" s="2" t="s">
        <v>79</v>
      </c>
      <c r="V12" s="2" t="s">
        <v>50</v>
      </c>
      <c r="W12" s="2">
        <v>23.184000000000001</v>
      </c>
      <c r="X12" s="2" t="s">
        <v>78</v>
      </c>
      <c r="Y12" s="2" t="s">
        <v>76</v>
      </c>
      <c r="Z12" s="2" t="s">
        <v>80</v>
      </c>
      <c r="AC12" s="2" t="s">
        <v>52</v>
      </c>
    </row>
    <row r="13" spans="1:29" s="4" customFormat="1" ht="15.75" x14ac:dyDescent="0.25">
      <c r="A13" s="3" t="s">
        <v>29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4" t="s">
        <v>71</v>
      </c>
      <c r="H13" s="4" t="s">
        <v>41</v>
      </c>
      <c r="I13" s="4" t="s">
        <v>72</v>
      </c>
      <c r="J13" s="4" t="s">
        <v>81</v>
      </c>
      <c r="K13" s="4" t="s">
        <v>82</v>
      </c>
      <c r="L13" s="4" t="s">
        <v>83</v>
      </c>
      <c r="M13" s="4" t="s">
        <v>73</v>
      </c>
      <c r="N13" s="4" t="s">
        <v>74</v>
      </c>
      <c r="O13" s="4" t="s">
        <v>75</v>
      </c>
      <c r="P13" s="4" t="s">
        <v>76</v>
      </c>
      <c r="Q13" s="4" t="s">
        <v>77</v>
      </c>
      <c r="R13" s="4" t="s">
        <v>78</v>
      </c>
      <c r="S13" s="4" t="s">
        <v>47</v>
      </c>
      <c r="T13" s="4" t="s">
        <v>48</v>
      </c>
      <c r="U13" s="4" t="s">
        <v>79</v>
      </c>
      <c r="V13" s="4" t="s">
        <v>50</v>
      </c>
      <c r="W13" s="4">
        <v>1.718</v>
      </c>
      <c r="X13" s="4" t="s">
        <v>78</v>
      </c>
      <c r="Y13" s="4" t="s">
        <v>76</v>
      </c>
      <c r="Z13" s="4" t="s">
        <v>80</v>
      </c>
      <c r="AC13" s="4" t="s">
        <v>52</v>
      </c>
    </row>
    <row r="14" spans="1:29" s="6" customFormat="1" ht="16.5" thickBot="1" x14ac:dyDescent="0.3">
      <c r="A14" s="5" t="s">
        <v>29</v>
      </c>
      <c r="B14" s="6" t="s">
        <v>30</v>
      </c>
      <c r="C14" s="6" t="s">
        <v>31</v>
      </c>
      <c r="D14" s="6" t="s">
        <v>32</v>
      </c>
      <c r="E14" s="6" t="s">
        <v>33</v>
      </c>
      <c r="F14" s="6" t="s">
        <v>34</v>
      </c>
      <c r="G14" s="6" t="s">
        <v>71</v>
      </c>
      <c r="H14" s="6" t="s">
        <v>41</v>
      </c>
      <c r="I14" s="6" t="s">
        <v>72</v>
      </c>
      <c r="J14" s="6" t="s">
        <v>56</v>
      </c>
      <c r="K14" s="6" t="s">
        <v>57</v>
      </c>
      <c r="L14" s="6" t="s">
        <v>58</v>
      </c>
      <c r="M14" s="6" t="s">
        <v>73</v>
      </c>
      <c r="N14" s="6" t="s">
        <v>74</v>
      </c>
      <c r="O14" s="6" t="s">
        <v>75</v>
      </c>
      <c r="P14" s="6" t="s">
        <v>76</v>
      </c>
      <c r="Q14" s="6" t="s">
        <v>77</v>
      </c>
      <c r="R14" s="6" t="s">
        <v>78</v>
      </c>
      <c r="S14" s="6" t="s">
        <v>47</v>
      </c>
      <c r="T14" s="6" t="s">
        <v>48</v>
      </c>
      <c r="U14" s="6" t="s">
        <v>79</v>
      </c>
      <c r="V14" s="6" t="s">
        <v>50</v>
      </c>
      <c r="W14" s="6">
        <v>202.00800000000001</v>
      </c>
      <c r="X14" s="6" t="s">
        <v>78</v>
      </c>
      <c r="Y14" s="6" t="s">
        <v>76</v>
      </c>
      <c r="Z14" s="6" t="s">
        <v>80</v>
      </c>
      <c r="AC14" s="6" t="s">
        <v>52</v>
      </c>
    </row>
    <row r="15" spans="1:29" s="4" customFormat="1" ht="16.5" thickBot="1" x14ac:dyDescent="0.3">
      <c r="A15" s="3"/>
      <c r="W15" s="7">
        <f>SUM(W12:W14)</f>
        <v>226.91000000000003</v>
      </c>
    </row>
    <row r="16" spans="1:29" s="2" customFormat="1" ht="15.75" x14ac:dyDescent="0.25">
      <c r="A16" s="1" t="s">
        <v>29</v>
      </c>
      <c r="B16" s="2" t="s">
        <v>30</v>
      </c>
      <c r="C16" s="2" t="s">
        <v>31</v>
      </c>
      <c r="D16" s="2" t="s">
        <v>32</v>
      </c>
      <c r="E16" s="2" t="s">
        <v>33</v>
      </c>
      <c r="F16" s="2" t="s">
        <v>34</v>
      </c>
      <c r="G16" s="2" t="s">
        <v>84</v>
      </c>
      <c r="H16" s="2" t="s">
        <v>41</v>
      </c>
      <c r="I16" s="2" t="s">
        <v>85</v>
      </c>
      <c r="J16" s="2" t="s">
        <v>56</v>
      </c>
      <c r="K16" s="2" t="s">
        <v>57</v>
      </c>
      <c r="L16" s="2" t="s">
        <v>58</v>
      </c>
      <c r="M16" s="2" t="s">
        <v>73</v>
      </c>
      <c r="N16" s="2" t="s">
        <v>74</v>
      </c>
      <c r="O16" s="2" t="s">
        <v>75</v>
      </c>
      <c r="P16" s="2" t="s">
        <v>76</v>
      </c>
      <c r="Q16" s="2" t="s">
        <v>86</v>
      </c>
      <c r="R16" s="2" t="s">
        <v>87</v>
      </c>
      <c r="S16" s="2" t="s">
        <v>47</v>
      </c>
      <c r="T16" s="2" t="s">
        <v>48</v>
      </c>
      <c r="U16" s="2" t="s">
        <v>88</v>
      </c>
      <c r="V16" s="2" t="s">
        <v>50</v>
      </c>
      <c r="W16" s="2">
        <v>202.00800000000001</v>
      </c>
      <c r="X16" s="2" t="s">
        <v>87</v>
      </c>
      <c r="Y16" s="2" t="s">
        <v>76</v>
      </c>
      <c r="Z16" s="2" t="s">
        <v>89</v>
      </c>
      <c r="AC16" s="2" t="s">
        <v>52</v>
      </c>
    </row>
    <row r="17" spans="1:29" s="6" customFormat="1" ht="16.5" thickBot="1" x14ac:dyDescent="0.3">
      <c r="A17" s="5" t="s">
        <v>29</v>
      </c>
      <c r="B17" s="6" t="s">
        <v>30</v>
      </c>
      <c r="C17" s="6" t="s">
        <v>31</v>
      </c>
      <c r="D17" s="6" t="s">
        <v>32</v>
      </c>
      <c r="E17" s="6" t="s">
        <v>33</v>
      </c>
      <c r="F17" s="6" t="s">
        <v>34</v>
      </c>
      <c r="G17" s="6" t="s">
        <v>84</v>
      </c>
      <c r="H17" s="6" t="s">
        <v>41</v>
      </c>
      <c r="I17" s="6" t="s">
        <v>85</v>
      </c>
      <c r="J17" s="6" t="s">
        <v>90</v>
      </c>
      <c r="K17" s="6" t="s">
        <v>91</v>
      </c>
      <c r="L17" s="6" t="s">
        <v>92</v>
      </c>
      <c r="M17" s="6" t="s">
        <v>73</v>
      </c>
      <c r="N17" s="6" t="s">
        <v>74</v>
      </c>
      <c r="O17" s="6" t="s">
        <v>75</v>
      </c>
      <c r="P17" s="6" t="s">
        <v>76</v>
      </c>
      <c r="Q17" s="6" t="s">
        <v>86</v>
      </c>
      <c r="R17" s="6" t="s">
        <v>87</v>
      </c>
      <c r="S17" s="6" t="s">
        <v>47</v>
      </c>
      <c r="T17" s="6" t="s">
        <v>48</v>
      </c>
      <c r="U17" s="6" t="s">
        <v>88</v>
      </c>
      <c r="V17" s="6" t="s">
        <v>50</v>
      </c>
      <c r="W17" s="6">
        <v>296.74800000000005</v>
      </c>
      <c r="X17" s="6" t="s">
        <v>87</v>
      </c>
      <c r="Y17" s="6" t="s">
        <v>76</v>
      </c>
      <c r="Z17" s="6" t="s">
        <v>89</v>
      </c>
      <c r="AC17" s="6" t="s">
        <v>52</v>
      </c>
    </row>
    <row r="18" spans="1:29" s="4" customFormat="1" ht="16.5" thickBot="1" x14ac:dyDescent="0.3">
      <c r="A18" s="3"/>
      <c r="W18" s="7">
        <f>SUM(W16:W17)</f>
        <v>498.75600000000009</v>
      </c>
    </row>
    <row r="19" spans="1:29" s="2" customFormat="1" ht="15.75" x14ac:dyDescent="0.25">
      <c r="A19" s="1" t="s">
        <v>29</v>
      </c>
      <c r="B19" s="2" t="s">
        <v>30</v>
      </c>
      <c r="C19" s="2" t="s">
        <v>31</v>
      </c>
      <c r="D19" s="2" t="s">
        <v>32</v>
      </c>
      <c r="E19" s="2" t="s">
        <v>33</v>
      </c>
      <c r="F19" s="2" t="s">
        <v>34</v>
      </c>
      <c r="G19" s="2" t="s">
        <v>93</v>
      </c>
      <c r="H19" s="2" t="s">
        <v>41</v>
      </c>
      <c r="I19" s="2" t="s">
        <v>63</v>
      </c>
      <c r="J19" s="2" t="s">
        <v>56</v>
      </c>
      <c r="K19" s="2" t="s">
        <v>57</v>
      </c>
      <c r="L19" s="2" t="s">
        <v>58</v>
      </c>
      <c r="M19" s="2" t="s">
        <v>73</v>
      </c>
      <c r="N19" s="2" t="s">
        <v>74</v>
      </c>
      <c r="O19" s="2" t="s">
        <v>75</v>
      </c>
      <c r="P19" s="2" t="s">
        <v>76</v>
      </c>
      <c r="Q19" s="2" t="s">
        <v>94</v>
      </c>
      <c r="R19" s="2" t="s">
        <v>95</v>
      </c>
      <c r="S19" s="2" t="s">
        <v>47</v>
      </c>
      <c r="T19" s="2" t="s">
        <v>48</v>
      </c>
      <c r="U19" s="2" t="s">
        <v>96</v>
      </c>
      <c r="V19" s="2" t="s">
        <v>50</v>
      </c>
      <c r="W19" s="2">
        <v>606.024</v>
      </c>
      <c r="X19" s="2" t="s">
        <v>95</v>
      </c>
      <c r="Y19" s="2" t="s">
        <v>76</v>
      </c>
      <c r="Z19" s="2" t="s">
        <v>89</v>
      </c>
      <c r="AC19" s="2" t="s">
        <v>52</v>
      </c>
    </row>
    <row r="20" spans="1:29" s="4" customFormat="1" ht="15.75" x14ac:dyDescent="0.25">
      <c r="A20" s="3" t="s">
        <v>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 t="s">
        <v>93</v>
      </c>
      <c r="H20" s="4" t="s">
        <v>41</v>
      </c>
      <c r="I20" s="4" t="s">
        <v>63</v>
      </c>
      <c r="J20" s="4" t="s">
        <v>38</v>
      </c>
      <c r="K20" s="4" t="s">
        <v>39</v>
      </c>
      <c r="L20" s="4" t="s">
        <v>40</v>
      </c>
      <c r="M20" s="4" t="s">
        <v>73</v>
      </c>
      <c r="N20" s="4" t="s">
        <v>74</v>
      </c>
      <c r="O20" s="4" t="s">
        <v>75</v>
      </c>
      <c r="P20" s="4" t="s">
        <v>76</v>
      </c>
      <c r="Q20" s="4" t="s">
        <v>94</v>
      </c>
      <c r="R20" s="4" t="s">
        <v>95</v>
      </c>
      <c r="S20" s="4" t="s">
        <v>47</v>
      </c>
      <c r="T20" s="4" t="s">
        <v>48</v>
      </c>
      <c r="U20" s="4" t="s">
        <v>96</v>
      </c>
      <c r="V20" s="4" t="s">
        <v>50</v>
      </c>
      <c r="W20" s="4">
        <v>265.63200000000001</v>
      </c>
      <c r="X20" s="4" t="s">
        <v>95</v>
      </c>
      <c r="Y20" s="4" t="s">
        <v>76</v>
      </c>
      <c r="Z20" s="4" t="s">
        <v>89</v>
      </c>
      <c r="AC20" s="4" t="s">
        <v>52</v>
      </c>
    </row>
    <row r="21" spans="1:29" s="4" customFormat="1" ht="15.75" x14ac:dyDescent="0.25">
      <c r="A21" s="3" t="s">
        <v>29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34</v>
      </c>
      <c r="G21" s="4" t="s">
        <v>93</v>
      </c>
      <c r="H21" s="4" t="s">
        <v>41</v>
      </c>
      <c r="I21" s="4" t="s">
        <v>63</v>
      </c>
      <c r="J21" s="4" t="s">
        <v>68</v>
      </c>
      <c r="K21" s="4" t="s">
        <v>69</v>
      </c>
      <c r="L21" s="4" t="s">
        <v>70</v>
      </c>
      <c r="M21" s="4" t="s">
        <v>73</v>
      </c>
      <c r="N21" s="4" t="s">
        <v>74</v>
      </c>
      <c r="O21" s="4" t="s">
        <v>75</v>
      </c>
      <c r="P21" s="4" t="s">
        <v>76</v>
      </c>
      <c r="Q21" s="4" t="s">
        <v>94</v>
      </c>
      <c r="R21" s="4" t="s">
        <v>95</v>
      </c>
      <c r="S21" s="4" t="s">
        <v>47</v>
      </c>
      <c r="T21" s="4" t="s">
        <v>48</v>
      </c>
      <c r="U21" s="4" t="s">
        <v>96</v>
      </c>
      <c r="V21" s="4" t="s">
        <v>50</v>
      </c>
      <c r="W21" s="4">
        <v>4.056</v>
      </c>
      <c r="X21" s="4" t="s">
        <v>95</v>
      </c>
      <c r="Y21" s="4" t="s">
        <v>76</v>
      </c>
      <c r="Z21" s="4" t="s">
        <v>89</v>
      </c>
      <c r="AC21" s="4" t="s">
        <v>52</v>
      </c>
    </row>
    <row r="22" spans="1:29" s="6" customFormat="1" ht="16.5" thickBot="1" x14ac:dyDescent="0.3">
      <c r="A22" s="5" t="s">
        <v>29</v>
      </c>
      <c r="B22" s="6" t="s">
        <v>30</v>
      </c>
      <c r="C22" s="6" t="s">
        <v>31</v>
      </c>
      <c r="D22" s="6" t="s">
        <v>32</v>
      </c>
      <c r="E22" s="6" t="s">
        <v>33</v>
      </c>
      <c r="F22" s="6" t="s">
        <v>34</v>
      </c>
      <c r="G22" s="6" t="s">
        <v>93</v>
      </c>
      <c r="H22" s="6" t="s">
        <v>41</v>
      </c>
      <c r="I22" s="6" t="s">
        <v>63</v>
      </c>
      <c r="J22" s="6" t="s">
        <v>53</v>
      </c>
      <c r="K22" s="6" t="s">
        <v>54</v>
      </c>
      <c r="L22" s="6" t="s">
        <v>55</v>
      </c>
      <c r="M22" s="6" t="s">
        <v>73</v>
      </c>
      <c r="N22" s="6" t="s">
        <v>74</v>
      </c>
      <c r="O22" s="6" t="s">
        <v>75</v>
      </c>
      <c r="P22" s="6" t="s">
        <v>76</v>
      </c>
      <c r="Q22" s="6" t="s">
        <v>94</v>
      </c>
      <c r="R22" s="6" t="s">
        <v>95</v>
      </c>
      <c r="S22" s="6" t="s">
        <v>47</v>
      </c>
      <c r="T22" s="6" t="s">
        <v>48</v>
      </c>
      <c r="U22" s="6" t="s">
        <v>96</v>
      </c>
      <c r="V22" s="6" t="s">
        <v>50</v>
      </c>
      <c r="W22" s="6">
        <v>105.264</v>
      </c>
      <c r="X22" s="6" t="s">
        <v>95</v>
      </c>
      <c r="Y22" s="6" t="s">
        <v>76</v>
      </c>
      <c r="Z22" s="6" t="s">
        <v>89</v>
      </c>
      <c r="AC22" s="6" t="s">
        <v>52</v>
      </c>
    </row>
    <row r="23" spans="1:29" ht="15.75" x14ac:dyDescent="0.25">
      <c r="W23" s="7">
        <f>SUM(W19:W22)</f>
        <v>980.976</v>
      </c>
    </row>
    <row r="25" spans="1:29" x14ac:dyDescent="0.25">
      <c r="J25" t="s">
        <v>12</v>
      </c>
      <c r="K25" t="s">
        <v>14</v>
      </c>
      <c r="M25" t="s">
        <v>15</v>
      </c>
      <c r="N25" t="s">
        <v>17</v>
      </c>
    </row>
    <row r="26" spans="1:29" ht="15.75" x14ac:dyDescent="0.25">
      <c r="G26" t="s">
        <v>35</v>
      </c>
      <c r="H26" t="s">
        <v>36</v>
      </c>
      <c r="I26">
        <v>1000.104</v>
      </c>
      <c r="J26" t="s">
        <v>41</v>
      </c>
      <c r="K26" t="s">
        <v>43</v>
      </c>
      <c r="M26" t="s">
        <v>44</v>
      </c>
      <c r="N26" t="s">
        <v>46</v>
      </c>
      <c r="W26" s="8">
        <f>W6+W11+W15+W18+W23</f>
        <v>3388.9700000000003</v>
      </c>
    </row>
    <row r="27" spans="1:29" x14ac:dyDescent="0.25">
      <c r="G27" t="s">
        <v>62</v>
      </c>
      <c r="H27" t="s">
        <v>36</v>
      </c>
      <c r="I27">
        <v>682.22400000000005</v>
      </c>
      <c r="J27" t="s">
        <v>41</v>
      </c>
      <c r="K27" t="s">
        <v>43</v>
      </c>
      <c r="M27" t="s">
        <v>44</v>
      </c>
      <c r="N27" t="s">
        <v>65</v>
      </c>
    </row>
    <row r="28" spans="1:29" x14ac:dyDescent="0.25">
      <c r="G28" t="s">
        <v>71</v>
      </c>
      <c r="H28" t="s">
        <v>41</v>
      </c>
      <c r="I28">
        <v>226.91000000000003</v>
      </c>
      <c r="J28" t="s">
        <v>73</v>
      </c>
      <c r="K28" t="s">
        <v>75</v>
      </c>
      <c r="M28" t="s">
        <v>76</v>
      </c>
      <c r="N28" t="s">
        <v>78</v>
      </c>
    </row>
    <row r="29" spans="1:29" x14ac:dyDescent="0.25">
      <c r="G29" t="s">
        <v>84</v>
      </c>
      <c r="H29" t="s">
        <v>41</v>
      </c>
      <c r="I29">
        <v>498.75600000000009</v>
      </c>
      <c r="J29" t="s">
        <v>73</v>
      </c>
      <c r="K29" t="s">
        <v>75</v>
      </c>
      <c r="M29" t="s">
        <v>76</v>
      </c>
      <c r="N29" t="s">
        <v>87</v>
      </c>
    </row>
    <row r="30" spans="1:29" x14ac:dyDescent="0.25">
      <c r="G30" t="s">
        <v>93</v>
      </c>
      <c r="H30" t="s">
        <v>41</v>
      </c>
      <c r="I30">
        <v>980.976</v>
      </c>
      <c r="J30" t="s">
        <v>73</v>
      </c>
      <c r="K30" t="s">
        <v>75</v>
      </c>
      <c r="M30" t="s">
        <v>76</v>
      </c>
      <c r="N30" t="s">
        <v>95</v>
      </c>
    </row>
  </sheetData>
  <conditionalFormatting sqref="G1:G1048576">
    <cfRule type="duplicateValues" dxfId="0" priority="1"/>
  </conditionalFormatting>
  <pageMargins left="0.7" right="0.7" top="0.75" bottom="0.75" header="0.3" footer="0.3"/>
  <ignoredErrors>
    <ignoredError sqref="A1:A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Brulotte</cp:lastModifiedBy>
  <dcterms:modified xsi:type="dcterms:W3CDTF">2025-09-17T18:49:57Z</dcterms:modified>
</cp:coreProperties>
</file>