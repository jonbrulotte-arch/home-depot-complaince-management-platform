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codeName="ThisWorkbook"/>
  <mc:AlternateContent xmlns:mc="http://schemas.openxmlformats.org/markup-compatibility/2006">
    <mc:Choice Requires="x15">
      <x15ac:absPath xmlns:x15ac="http://schemas.microsoft.com/office/spreadsheetml/2010/11/ac" url="https://jsproducts0-my.sharepoint.com/personal/jbrulotte_jsproducts_com/Documents/Reports/Jon Brulotte - Reports/THD-DFDC/Compliance/Monthly Compliance Report/Data/2024/Aug-2024/"/>
    </mc:Choice>
  </mc:AlternateContent>
  <xr:revisionPtr revIDLastSave="441" documentId="8_{100EF7A8-2AA5-4405-BC69-69594C807A29}" xr6:coauthVersionLast="47" xr6:coauthVersionMax="47" xr10:uidLastSave="{C728D470-442F-4639-BA8D-98871DEC7841}"/>
  <bookViews>
    <workbookView xWindow="-120" yWindow="-120" windowWidth="29040" windowHeight="15720" firstSheet="5" activeTab="2" xr2:uid="{00000000-000D-0000-FFFF-FFFF00000000}"/>
  </bookViews>
  <sheets>
    <sheet name="Summary" sheetId="1" r:id="rId1"/>
    <sheet name="Fill Rate" sheetId="2" r:id="rId2"/>
    <sheet name="On Time" sheetId="3" r:id="rId3"/>
    <sheet name="ASNT MISSING ASN" sheetId="4" r:id="rId4"/>
    <sheet name="ASNT TMS UTIL" sheetId="6" r:id="rId5"/>
    <sheet name="ASNT LATE ASN" sheetId="5" r:id="rId6"/>
    <sheet name="Fluid Receiving" sheetId="7" r:id="rId7"/>
  </sheets>
  <definedNames>
    <definedName name="_xlnm._FilterDatabase" localSheetId="5" hidden="1">'ASNT LATE ASN'!$A$2:$Q$10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3" l="1"/>
  <c r="AD3" i="3"/>
  <c r="AC3" i="3"/>
  <c r="AB4" i="3"/>
  <c r="AB5" i="3"/>
  <c r="AB6" i="3"/>
  <c r="AB7" i="3"/>
  <c r="AB8" i="3"/>
  <c r="AB9" i="3"/>
  <c r="AB10" i="3"/>
  <c r="AB11" i="3"/>
  <c r="Q3" i="5"/>
  <c r="Q4" i="5"/>
  <c r="Q5" i="5"/>
  <c r="Q6" i="5"/>
  <c r="Q7" i="5"/>
  <c r="Q8" i="5"/>
  <c r="Q9" i="5"/>
  <c r="Q10" i="5"/>
  <c r="O3" i="5"/>
  <c r="O4" i="5"/>
  <c r="O5" i="5"/>
  <c r="O6" i="5"/>
  <c r="O7" i="5"/>
  <c r="O8" i="5"/>
  <c r="O9" i="5"/>
  <c r="O10" i="5"/>
  <c r="AD4" i="3"/>
  <c r="AD5" i="3"/>
  <c r="AD6" i="3"/>
  <c r="AD7" i="3"/>
  <c r="AD8" i="3"/>
  <c r="AD9" i="3"/>
  <c r="AD10" i="3"/>
  <c r="AD11" i="3"/>
  <c r="N3" i="3"/>
  <c r="N4" i="3"/>
  <c r="N5" i="3"/>
  <c r="N6" i="3"/>
  <c r="N7" i="3"/>
  <c r="N8" i="3"/>
  <c r="N9" i="3"/>
  <c r="N10" i="3"/>
  <c r="N11" i="3"/>
  <c r="AC4" i="3"/>
  <c r="AC5" i="3"/>
  <c r="AC6" i="3"/>
  <c r="AC7" i="3"/>
  <c r="AC8" i="3"/>
  <c r="AC9" i="3"/>
  <c r="AC10" i="3"/>
  <c r="AC11" i="3"/>
  <c r="Y3" i="3" l="1"/>
  <c r="Y4" i="3"/>
  <c r="Y5" i="3"/>
  <c r="Y6" i="3"/>
  <c r="Y7" i="3"/>
  <c r="Y8" i="3"/>
  <c r="Y9" i="3"/>
  <c r="Y10" i="3"/>
  <c r="Y11" i="3"/>
  <c r="M4" i="3"/>
  <c r="M5" i="3"/>
  <c r="M6" i="3"/>
  <c r="M7" i="3"/>
  <c r="M8" i="3"/>
  <c r="M9" i="3"/>
  <c r="M10" i="3"/>
  <c r="M11" i="3"/>
  <c r="M3" i="3"/>
  <c r="K4" i="3"/>
  <c r="K5" i="3"/>
  <c r="K6" i="3"/>
  <c r="K7" i="3"/>
  <c r="K8" i="3"/>
  <c r="K9" i="3"/>
  <c r="K10" i="3"/>
  <c r="K11" i="3"/>
  <c r="K3" i="3"/>
  <c r="X3" i="3"/>
  <c r="X4" i="3"/>
  <c r="X5" i="3"/>
  <c r="X6" i="3"/>
  <c r="X7" i="3"/>
  <c r="X8" i="3"/>
  <c r="X9" i="3"/>
  <c r="X10" i="3"/>
  <c r="X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 Brulotte</author>
  </authors>
  <commentList>
    <comment ref="AB2" authorId="0" shapeId="0" xr:uid="{C32EE5DB-6E7A-4D9E-973E-0975428F577D}">
      <text>
        <r>
          <rPr>
            <sz val="12"/>
            <color theme="1"/>
            <rFont val="Calibri"/>
            <family val="2"/>
            <scheme val="minor"/>
          </rPr>
          <t xml:space="preserve">Jon Brulotte:
Mark the PO “Ready To Ship” in TMS by 11am local time, 2 business days prior to the PO Ship by Date. 
For EDI mapping purposes, the PO “Ship by Date” can be found in the DTM*038 segment of the EDI 850 PO transmission.  </t>
        </r>
      </text>
    </comment>
    <comment ref="AC2" authorId="0" shapeId="0" xr:uid="{B0CA076C-B529-4D93-BE33-907C455E54B7}">
      <text>
        <r>
          <rPr>
            <sz val="12"/>
            <color theme="1"/>
            <rFont val="Calibri"/>
            <family val="2"/>
            <scheme val="minor"/>
          </rPr>
          <t xml:space="preserve">Jon Brulotte:
Enter a “Pickup Request Date” in TMS equal to the “Ship by Date” on the PO   Note: Any change in the “Pickup Request Date” after initial RTS submission must be coordinated with your THD Transportation Planner.  THD’s carriers will not adjust pickup dates without THD’s involvement.  Transportation planner contact information is included in the Planner Map document on the Transportation Management section of Supplier Hub.   </t>
        </r>
      </text>
    </comment>
    <comment ref="AD2" authorId="0" shapeId="0" xr:uid="{7705BB80-D383-492E-A201-8F34432DF274}">
      <text>
        <r>
          <rPr>
            <sz val="12"/>
            <color theme="1"/>
            <rFont val="Calibri"/>
            <family val="2"/>
            <scheme val="minor"/>
          </rPr>
          <t xml:space="preserve">Jon Brulotte:
The supplier populates the freight bill field of the ASN (REF*CN segment) with the correct TMS Shipment ID number; the Shipment ID number is available in TMS after the RTS is submitted and the carrier accepts the shipment. Please note: Populating this information is critical because this correctly associates a shipment in both TMS and on the ASN.   </t>
        </r>
      </text>
    </comment>
  </commentList>
</comments>
</file>

<file path=xl/sharedStrings.xml><?xml version="1.0" encoding="utf-8"?>
<sst xmlns="http://schemas.openxmlformats.org/spreadsheetml/2006/main" count="498" uniqueCount="202">
  <si>
    <t xml:space="preserve">
 P-Vendor Performance Summary Totals</t>
  </si>
  <si>
    <t>Metric</t>
  </si>
  <si>
    <t>Program Status</t>
  </si>
  <si>
    <t>Total Lines</t>
  </si>
  <si>
    <t>Compliant Lines</t>
  </si>
  <si>
    <t>Non-Compliant Lines</t>
  </si>
  <si>
    <t>Offsets Pre-Dispute</t>
  </si>
  <si>
    <t>Offsets Post-Dispute</t>
  </si>
  <si>
    <t>Disputed Lines</t>
  </si>
  <si>
    <t>Approved Lines</t>
  </si>
  <si>
    <t>Denied Lines</t>
  </si>
  <si>
    <t>FILL RATE</t>
  </si>
  <si>
    <t>Pending Supplier</t>
  </si>
  <si>
    <t>--</t>
  </si>
  <si>
    <t>ON TIME</t>
  </si>
  <si>
    <t>ASNT LATE ASN</t>
  </si>
  <si>
    <t>ASNT TMS UTIL</t>
  </si>
  <si>
    <t xml:space="preserve">
 M-Vendor:20377</t>
  </si>
  <si>
    <t>Threshold</t>
  </si>
  <si>
    <t>Pre-Dispute Performance</t>
  </si>
  <si>
    <t>Post-Dispute Performance</t>
  </si>
  <si>
    <t>Fiscal Month</t>
  </si>
  <si>
    <t>P-Vendor #</t>
  </si>
  <si>
    <t>M-Vendor #</t>
  </si>
  <si>
    <t>M-Vendor Name</t>
  </si>
  <si>
    <t>Dept Number</t>
  </si>
  <si>
    <t>PO Number</t>
  </si>
  <si>
    <t>PO Create Date</t>
  </si>
  <si>
    <t>Expected Arrival Date</t>
  </si>
  <si>
    <t>DC Number</t>
  </si>
  <si>
    <t>SKU Number</t>
  </si>
  <si>
    <t>Vendor SKU</t>
  </si>
  <si>
    <t>SKU Description</t>
  </si>
  <si>
    <t>Ordered Quantity</t>
  </si>
  <si>
    <t>Received Quantity</t>
  </si>
  <si>
    <t>Fill Rate</t>
  </si>
  <si>
    <t>Offset</t>
  </si>
  <si>
    <t xml:space="preserve">JS PRODUCTS             </t>
  </si>
  <si>
    <t>23</t>
  </si>
  <si>
    <t>2015449080</t>
  </si>
  <si>
    <t>07/18/2024</t>
  </si>
  <si>
    <t>08/03/2024</t>
  </si>
  <si>
    <t>5034 - RDC - BREINIGSVILLE</t>
  </si>
  <si>
    <t>1003043946</t>
  </si>
  <si>
    <t>56829</t>
  </si>
  <si>
    <t>DEWALT 6FT STORAGE RACK</t>
  </si>
  <si>
    <t>2015449293</t>
  </si>
  <si>
    <t>5851 - RDC - JOLIET</t>
  </si>
  <si>
    <t>2015449308</t>
  </si>
  <si>
    <t>5639 - RDC - SALEM, OR</t>
  </si>
  <si>
    <t>2015449336</t>
  </si>
  <si>
    <t>5023 - RDC - DALLAS</t>
  </si>
  <si>
    <t>1003043977</t>
  </si>
  <si>
    <t>56831</t>
  </si>
  <si>
    <t>DEWALT 4FT RACK W/ SOLID</t>
  </si>
  <si>
    <t>2017688169</t>
  </si>
  <si>
    <t>07/25/2024</t>
  </si>
  <si>
    <t>08/10/2024</t>
  </si>
  <si>
    <t>2017688341</t>
  </si>
  <si>
    <t>2017688426</t>
  </si>
  <si>
    <t>2019995325</t>
  </si>
  <si>
    <t>08/01/2024</t>
  </si>
  <si>
    <t>08/17/2024</t>
  </si>
  <si>
    <t>2019995466</t>
  </si>
  <si>
    <t>2022158234</t>
  </si>
  <si>
    <t>08/08/2024</t>
  </si>
  <si>
    <t>08/24/2024</t>
  </si>
  <si>
    <t>2022158374</t>
  </si>
  <si>
    <t>2022158466</t>
  </si>
  <si>
    <t>Pack Slip ID</t>
  </si>
  <si>
    <t>Estimated Ship Date</t>
  </si>
  <si>
    <t>Estimated Delivery Date</t>
  </si>
  <si>
    <t>WMS Create Date</t>
  </si>
  <si>
    <t>Waved Date</t>
  </si>
  <si>
    <t>Waved Time</t>
  </si>
  <si>
    <t>CS rep</t>
  </si>
  <si>
    <t>Days to Wave
(Wave Date - PO Create Date)</t>
  </si>
  <si>
    <t>RTS Sent</t>
  </si>
  <si>
    <t>Days taken to RTS After Wave</t>
  </si>
  <si>
    <t># of Days - RTS 
Before ESD (2+ Req)</t>
  </si>
  <si>
    <t>Pick Up Request Date</t>
  </si>
  <si>
    <t>BOL Number</t>
  </si>
  <si>
    <t>TMS ID #/Freight Bill #</t>
  </si>
  <si>
    <t>Shipment ID from TMS</t>
  </si>
  <si>
    <t>Trailer Check-In</t>
  </si>
  <si>
    <t>Shipment Number</t>
  </si>
  <si>
    <t>Actual Shipment Date</t>
  </si>
  <si>
    <t>ASN Transmission Timestamp</t>
  </si>
  <si>
    <t>Est. Days Late</t>
  </si>
  <si>
    <t>Shipped: # of Days 
After Order Receipt</t>
  </si>
  <si>
    <t>WMS Ship Date</t>
  </si>
  <si>
    <t>WMS Ship Time</t>
  </si>
  <si>
    <t>Criteria #1</t>
  </si>
  <si>
    <t>Criteria #2</t>
  </si>
  <si>
    <t>Criteria #3</t>
  </si>
  <si>
    <t>3-FUT995081-2:1</t>
  </si>
  <si>
    <t>07/24/2024</t>
  </si>
  <si>
    <t>cmurphy</t>
  </si>
  <si>
    <t>07/23/2024 02:05 PM</t>
  </si>
  <si>
    <t>227247090</t>
  </si>
  <si>
    <t>08/02/2024 05:56 PM</t>
  </si>
  <si>
    <t xml:space="preserve">43860349            </t>
  </si>
  <si>
    <t>07/26/2024</t>
  </si>
  <si>
    <t>07/31/2024 02:47 PM</t>
  </si>
  <si>
    <t>3-FUT995255-2:1</t>
  </si>
  <si>
    <t>07/23/2024 02:03 PM</t>
  </si>
  <si>
    <t>07/30/2024 10:35 AM</t>
  </si>
  <si>
    <t>0-FUT995082-2:1</t>
  </si>
  <si>
    <t>07/23/2024 10:07 AM</t>
  </si>
  <si>
    <t>227239709</t>
  </si>
  <si>
    <t>07/29/2024 06:04 PM</t>
  </si>
  <si>
    <t xml:space="preserve">43826773            </t>
  </si>
  <si>
    <t>07/30/2024</t>
  </si>
  <si>
    <t>07/24/2024 03:53 PM</t>
  </si>
  <si>
    <t>3-FUT995083-2:1</t>
  </si>
  <si>
    <t>07/23/2024 02:06 PM</t>
  </si>
  <si>
    <t>08/02/2024 12:49 PM</t>
  </si>
  <si>
    <t>3-FUT997173-2:1</t>
  </si>
  <si>
    <t>08/07/2024</t>
  </si>
  <si>
    <t>08/05/2024 01:53 PM</t>
  </si>
  <si>
    <t>00000000028388753</t>
  </si>
  <si>
    <t>227341752</t>
  </si>
  <si>
    <t>08/13/2024 07:57 PM</t>
  </si>
  <si>
    <t xml:space="preserve">43901044            </t>
  </si>
  <si>
    <t>08/08/2024 02:04 PM</t>
  </si>
  <si>
    <t>3-FUT997174-2:1</t>
  </si>
  <si>
    <t>08/06/2024 02:19 PM</t>
  </si>
  <si>
    <t>00000000028395713</t>
  </si>
  <si>
    <t>227350441</t>
  </si>
  <si>
    <t>08/16/2024 12:29 PM</t>
  </si>
  <si>
    <t xml:space="preserve">43906973            </t>
  </si>
  <si>
    <t>08/14/2024</t>
  </si>
  <si>
    <t>08/09/2024 11:05 AM</t>
  </si>
  <si>
    <t>3-FUT998329-2:1</t>
  </si>
  <si>
    <t>08/13/2024 12:54 PM</t>
  </si>
  <si>
    <t>00000000028440239</t>
  </si>
  <si>
    <t>227406187</t>
  </si>
  <si>
    <t>08/21/2024 12:45 PM</t>
  </si>
  <si>
    <t xml:space="preserve">43940455            </t>
  </si>
  <si>
    <t>08/16/2024</t>
  </si>
  <si>
    <t>08/16/2024 09:49 AM</t>
  </si>
  <si>
    <t>3-FUT998330-2:1</t>
  </si>
  <si>
    <t>08/13/2024 12:56 PM</t>
  </si>
  <si>
    <t>00000000028440246</t>
  </si>
  <si>
    <t>08/22/2024 06:09 AM</t>
  </si>
  <si>
    <t xml:space="preserve">43940457            </t>
  </si>
  <si>
    <t>3-FUT998332-2:1</t>
  </si>
  <si>
    <t>08/13/2024 12:53 PM</t>
  </si>
  <si>
    <t>00000000028440222</t>
  </si>
  <si>
    <t>08/22/2024 03:58 AM</t>
  </si>
  <si>
    <t xml:space="preserve">43940456            </t>
  </si>
  <si>
    <t xml:space="preserve">Appendix A - Key Terms   </t>
  </si>
  <si>
    <t xml:space="preserve">Vendor Turn Time (VTT):  Measures the time in business days it takes for product to ship from the supplier’s facility (PO create date to ASN ship date).  </t>
  </si>
  <si>
    <t xml:space="preserve">Stated Lead Time: The number of days listed on a supplier’s Supplier Buying Agreement indicating how long it should take the product to arrive at the store once the PO is placed.  </t>
  </si>
  <si>
    <t>Total Lead Time: The number of days it takes for the product to arrive at the store once the PO is placed (PO create date to keyrec date).</t>
  </si>
  <si>
    <t xml:space="preserve">Appendix B – VTT Details    </t>
  </si>
  <si>
    <t xml:space="preserve">*Criteria:  </t>
  </si>
  <si>
    <t>Ship By Date = PO Transmission Date + Vendor Turn Time (Business Days Only)</t>
  </si>
  <si>
    <t xml:space="preserve">Mark the PO “Ready To Ship” in TMS by 11am local time, 2 business days prior to the PO Ship by Date. For EDI mapping purposes, the PO “Ship by Date” can be found in the DTM*038 segment of the EDI 850 PO transmission.  </t>
  </si>
  <si>
    <t xml:space="preserve">If the EDI PO is transmitted before 6 a.m. EST, VTT day 1 begins that day </t>
  </si>
  <si>
    <t xml:space="preserve">Enter a “Pickup Request Date” in TMS equal to the “Ship by Date” on the PO   Note: Any change in the “Pickup Request Date” after initial RTS submission must be coordinated with your THD Transportation Planner.  THD’s carriers will not adjust pickup dates without THD’s involvement.  Transportation planner contact information is included in the Planner Map document on the Transportation Management section of Supplier Hub.   </t>
  </si>
  <si>
    <t>If the EDI PO is transmitted after 6 a.m. EST, VTT day 1 begins the next day</t>
  </si>
  <si>
    <t xml:space="preserve">The supplier populates the freight bill field of the ASN (REF*CN segment) with the correct TMS Shipment ID number; the Shipment ID number is available in TMS after the RTS is submitted and the carrier accepts the shipment. Please note: Populating this information is critical because this correctly associates a shipment in both TMS and on the ASN.   </t>
  </si>
  <si>
    <t>Deliver By Date = Vendor Turn Time + Transit Time</t>
  </si>
  <si>
    <t xml:space="preserve">If the EDI PO is transmitted on the weekend, VTT day 1 begins on Monday 1 (Calendar Days)  </t>
  </si>
  <si>
    <t xml:space="preserve">If a Store PO delivery date falls on a weekend, the delivery date will be moved to the following Monday  </t>
  </si>
  <si>
    <t xml:space="preserve">Weekend Logic:   </t>
  </si>
  <si>
    <t xml:space="preserve">If the Vendor Turn Time (VTT) falls on or spans a weekend, Saturday and Sunday will not be part of the VTT calculation. </t>
  </si>
  <si>
    <t>Data</t>
  </si>
  <si>
    <t>ASNT MISSING ASN:RESULT DATA EMPTY</t>
  </si>
  <si>
    <t>Assessed Fscl Prd</t>
  </si>
  <si>
    <t>Offset Type</t>
  </si>
  <si>
    <t>Offset Amt</t>
  </si>
  <si>
    <t>Loc Nbr</t>
  </si>
  <si>
    <t>First Check In TS</t>
  </si>
  <si>
    <t>ASN Received Timestamp</t>
  </si>
  <si>
    <t>Freight Bill # (Ref *CN)</t>
  </si>
  <si>
    <t>TMS Utilization</t>
  </si>
  <si>
    <t>5084</t>
  </si>
  <si>
    <t>07/26/2024 06:00 PM</t>
  </si>
  <si>
    <t>07/31/2024 08:20 AM</t>
  </si>
  <si>
    <t>227284602</t>
  </si>
  <si>
    <t>07/30/2024 01:27 PM</t>
  </si>
  <si>
    <t>227284599</t>
  </si>
  <si>
    <t>07/31/2024 12:37 AM</t>
  </si>
  <si>
    <t>227284585</t>
  </si>
  <si>
    <t>5087</t>
  </si>
  <si>
    <t>08/02/2024 04:34 PM</t>
  </si>
  <si>
    <t>08/06/2024 11:30 PM</t>
  </si>
  <si>
    <t>08700394457</t>
  </si>
  <si>
    <t>5034</t>
  </si>
  <si>
    <t>07/23/2024 03:29 PM</t>
  </si>
  <si>
    <t>07/23/2024 09:07 PM</t>
  </si>
  <si>
    <t>15064090655</t>
  </si>
  <si>
    <t>2013095229</t>
  </si>
  <si>
    <t>07/11/2024</t>
  </si>
  <si>
    <t>Doc Trace ID</t>
  </si>
  <si>
    <t>Late ASN</t>
  </si>
  <si>
    <t>00796912a</t>
  </si>
  <si>
    <t>00800246</t>
  </si>
  <si>
    <t/>
  </si>
  <si>
    <t>Fluid Receiving:RESULT DATA 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</si>
</sst>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m/d/yy\ h:mm;@"/>
  </numFmts>
  <fonts count="4">
    <font>
      <sz val="12"/>
      <color theme="1"/>
      <name val="Calibri"/>
      <family val="2"/>
      <scheme val="minor"/>
    </font>
    <font>
      <sz val="11"/>
      <color rgb="FF9C5700"/>
      <name val="Calibri"/>
      <family val="2"/>
      <scheme val="minor"/>
    </font>
    <font>
      <sz val="11"/>
      <color rgb="FF9C5700"/>
      <name val="Calibri"/>
      <scheme val="minor"/>
    </font>
    <font>
      <b/>
      <sz val="12"/>
      <color theme="1"/>
      <name val="Calibri"/>
      <family val="2"/>
      <scheme val="minor"/>
    </font>
  </fonts>
  <fills count="6">
    <fill>
      <patternFill patternType="none"/>
    </fill>
    <fill>
      <patternFill patternType="gray125"/>
    </fill>
    <fill>
      <patternFill patternType="solid">
        <fgColor rgb="FFFFEB9C"/>
      </patternFill>
    </fill>
    <fill>
      <patternFill patternType="solid">
        <fgColor rgb="FF92D050"/>
        <bgColor indexed="64"/>
      </patternFill>
    </fill>
    <fill>
      <patternFill patternType="solid">
        <fgColor theme="5" tint="0.59999389629810485"/>
        <bgColor indexed="64"/>
      </patternFill>
    </fill>
    <fill>
      <patternFill patternType="solid">
        <fgColor theme="0" tint="-0.249977111117893"/>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2" borderId="0" applyNumberFormat="0" applyBorder="0" applyAlignment="0" applyProtection="0"/>
  </cellStyleXfs>
  <cellXfs count="36">
    <xf numFmtId="0" fontId="0" fillId="0" borderId="0" xfId="0"/>
    <xf numFmtId="164" fontId="0" fillId="0" borderId="0" xfId="0" applyNumberFormat="1"/>
    <xf numFmtId="0" fontId="3" fillId="0" borderId="0" xfId="0" applyFont="1"/>
    <xf numFmtId="0" fontId="3" fillId="5" borderId="1" xfId="0" applyFont="1" applyFill="1" applyBorder="1"/>
    <xf numFmtId="0" fontId="0" fillId="0" borderId="1" xfId="0" applyBorder="1"/>
    <xf numFmtId="164" fontId="2" fillId="2" borderId="1" xfId="1" applyNumberFormat="1" applyFont="1" applyBorder="1"/>
    <xf numFmtId="0" fontId="0" fillId="4" borderId="1" xfId="0" applyFill="1" applyBorder="1"/>
    <xf numFmtId="14" fontId="0" fillId="0" borderId="1" xfId="0" applyNumberFormat="1" applyBorder="1"/>
    <xf numFmtId="164" fontId="0" fillId="0" borderId="1" xfId="0" applyNumberFormat="1" applyBorder="1"/>
    <xf numFmtId="0" fontId="0" fillId="3" borderId="1" xfId="0" applyFill="1" applyBorder="1"/>
    <xf numFmtId="164" fontId="0" fillId="4" borderId="1" xfId="0" applyNumberFormat="1" applyFill="1" applyBorder="1"/>
    <xf numFmtId="0" fontId="3" fillId="5" borderId="2" xfId="0" applyFont="1" applyFill="1" applyBorder="1"/>
    <xf numFmtId="0" fontId="3" fillId="5" borderId="3" xfId="0" applyFont="1" applyFill="1" applyBorder="1"/>
    <xf numFmtId="0" fontId="3" fillId="5" borderId="4" xfId="0" applyFont="1" applyFill="1" applyBorder="1" applyAlignment="1">
      <alignment wrapText="1"/>
    </xf>
    <xf numFmtId="165" fontId="2" fillId="2" borderId="5" xfId="1" applyNumberFormat="1" applyFont="1" applyBorder="1"/>
    <xf numFmtId="2" fontId="2" fillId="2" borderId="6" xfId="1" applyNumberFormat="1" applyFont="1" applyBorder="1"/>
    <xf numFmtId="165" fontId="0" fillId="4" borderId="5" xfId="0" applyNumberFormat="1" applyFill="1" applyBorder="1"/>
    <xf numFmtId="2" fontId="0" fillId="4" borderId="6" xfId="0" applyNumberFormat="1" applyFill="1" applyBorder="1"/>
    <xf numFmtId="165" fontId="0" fillId="4" borderId="7" xfId="0" applyNumberFormat="1" applyFill="1" applyBorder="1"/>
    <xf numFmtId="164" fontId="0" fillId="4" borderId="8" xfId="0" applyNumberFormat="1" applyFill="1" applyBorder="1"/>
    <xf numFmtId="2" fontId="0" fillId="4" borderId="9" xfId="0" applyNumberFormat="1" applyFill="1" applyBorder="1"/>
    <xf numFmtId="0" fontId="3" fillId="5" borderId="10" xfId="0" applyFont="1" applyFill="1" applyBorder="1"/>
    <xf numFmtId="0" fontId="0" fillId="0" borderId="10" xfId="0" applyBorder="1"/>
    <xf numFmtId="0" fontId="3" fillId="5" borderId="11" xfId="0" applyFont="1" applyFill="1" applyBorder="1"/>
    <xf numFmtId="0" fontId="0" fillId="0" borderId="11" xfId="0" applyBorder="1"/>
    <xf numFmtId="0" fontId="3" fillId="5" borderId="2" xfId="0" applyFont="1" applyFill="1" applyBorder="1" applyAlignment="1">
      <alignment wrapText="1"/>
    </xf>
    <xf numFmtId="2" fontId="0" fillId="4" borderId="5" xfId="0" applyNumberFormat="1" applyFill="1" applyBorder="1"/>
    <xf numFmtId="1" fontId="0" fillId="4" borderId="6" xfId="0" applyNumberFormat="1" applyFill="1" applyBorder="1"/>
    <xf numFmtId="0" fontId="0" fillId="4" borderId="5" xfId="0" applyFill="1" applyBorder="1"/>
    <xf numFmtId="0" fontId="0" fillId="3" borderId="5" xfId="0" applyFill="1" applyBorder="1"/>
    <xf numFmtId="0" fontId="0" fillId="3" borderId="7" xfId="0" applyFill="1" applyBorder="1"/>
    <xf numFmtId="1" fontId="0" fillId="4" borderId="9" xfId="0" applyNumberFormat="1" applyFill="1" applyBorder="1"/>
    <xf numFmtId="0" fontId="0" fillId="0" borderId="5" xfId="0" applyBorder="1"/>
    <xf numFmtId="0" fontId="0" fillId="4" borderId="6" xfId="0" applyFill="1" applyBorder="1"/>
    <xf numFmtId="0" fontId="0" fillId="0" borderId="7" xfId="0" applyBorder="1"/>
    <xf numFmtId="0" fontId="0" fillId="4" borderId="9" xfId="0" applyFill="1" applyBorder="1"/>
  </cellXfs>
  <cellStyles count="2">
    <cellStyle name="Neutral" xfId="1" builtinId="2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2"/>
  <sheetViews>
    <sheetView workbookViewId="0">
      <selection activeCell="F6" sqref="F6"/>
    </sheetView>
  </sheetViews>
  <sheetFormatPr defaultRowHeight="15.75"/>
  <sheetData>
    <row r="2" spans="1:12">
      <c r="A2" t="s">
        <v>0</v>
      </c>
    </row>
    <row r="3" spans="1:12">
      <c r="A3" t="s">
        <v>1</v>
      </c>
      <c r="B3" t="s">
        <v>2</v>
      </c>
      <c r="C3" t="s">
        <v>3</v>
      </c>
      <c r="D3" t="s">
        <v>4</v>
      </c>
      <c r="E3" t="s">
        <v>5</v>
      </c>
      <c r="F3" t="s">
        <v>6</v>
      </c>
      <c r="G3" t="s">
        <v>7</v>
      </c>
      <c r="H3" t="s">
        <v>8</v>
      </c>
      <c r="I3" t="s">
        <v>9</v>
      </c>
      <c r="J3" t="s">
        <v>10</v>
      </c>
    </row>
    <row r="4" spans="1:12">
      <c r="A4" t="s">
        <v>11</v>
      </c>
      <c r="B4" t="s">
        <v>12</v>
      </c>
      <c r="C4">
        <v>389</v>
      </c>
      <c r="D4">
        <v>375</v>
      </c>
      <c r="E4">
        <v>1</v>
      </c>
      <c r="F4">
        <v>404.99</v>
      </c>
      <c r="G4" t="s">
        <v>13</v>
      </c>
      <c r="H4">
        <v>0</v>
      </c>
      <c r="I4" t="s">
        <v>13</v>
      </c>
      <c r="J4" t="s">
        <v>13</v>
      </c>
    </row>
    <row r="5" spans="1:12">
      <c r="A5" t="s">
        <v>14</v>
      </c>
      <c r="B5" t="s">
        <v>12</v>
      </c>
      <c r="C5">
        <v>3</v>
      </c>
      <c r="D5">
        <v>3</v>
      </c>
      <c r="E5">
        <v>9</v>
      </c>
      <c r="F5">
        <v>9022.91</v>
      </c>
      <c r="G5" t="s">
        <v>13</v>
      </c>
      <c r="H5">
        <v>0</v>
      </c>
      <c r="I5" t="s">
        <v>13</v>
      </c>
      <c r="J5" t="s">
        <v>13</v>
      </c>
    </row>
    <row r="6" spans="1:12">
      <c r="A6" t="s">
        <v>15</v>
      </c>
      <c r="B6" t="s">
        <v>12</v>
      </c>
      <c r="C6" t="s">
        <v>13</v>
      </c>
      <c r="D6" t="s">
        <v>13</v>
      </c>
      <c r="E6">
        <v>3</v>
      </c>
      <c r="F6">
        <v>750</v>
      </c>
      <c r="G6">
        <v>750</v>
      </c>
      <c r="H6">
        <v>0</v>
      </c>
      <c r="I6">
        <v>0</v>
      </c>
      <c r="J6">
        <v>0</v>
      </c>
    </row>
    <row r="7" spans="1:12">
      <c r="A7" t="s">
        <v>16</v>
      </c>
      <c r="B7" t="s">
        <v>12</v>
      </c>
      <c r="C7" t="s">
        <v>13</v>
      </c>
      <c r="D7" t="s">
        <v>13</v>
      </c>
      <c r="E7">
        <v>5</v>
      </c>
      <c r="F7">
        <v>500</v>
      </c>
      <c r="G7">
        <v>500</v>
      </c>
      <c r="H7">
        <v>0</v>
      </c>
      <c r="I7">
        <v>0</v>
      </c>
      <c r="J7">
        <v>0</v>
      </c>
    </row>
    <row r="9" spans="1:12">
      <c r="A9" t="s">
        <v>17</v>
      </c>
    </row>
    <row r="10" spans="1:12">
      <c r="A10" t="s">
        <v>1</v>
      </c>
      <c r="B10" t="s">
        <v>3</v>
      </c>
      <c r="C10" t="s">
        <v>4</v>
      </c>
      <c r="D10" t="s">
        <v>5</v>
      </c>
      <c r="E10" t="s">
        <v>6</v>
      </c>
      <c r="F10" t="s">
        <v>7</v>
      </c>
      <c r="G10" t="s">
        <v>8</v>
      </c>
      <c r="H10" t="s">
        <v>9</v>
      </c>
      <c r="I10" t="s">
        <v>10</v>
      </c>
      <c r="J10" t="s">
        <v>18</v>
      </c>
      <c r="K10" t="s">
        <v>19</v>
      </c>
      <c r="L10" t="s">
        <v>20</v>
      </c>
    </row>
    <row r="11" spans="1:12">
      <c r="A11" t="s">
        <v>11</v>
      </c>
      <c r="B11">
        <v>389</v>
      </c>
      <c r="C11">
        <v>375</v>
      </c>
      <c r="D11">
        <v>14</v>
      </c>
      <c r="E11">
        <v>404.99</v>
      </c>
      <c r="F11" t="s">
        <v>13</v>
      </c>
      <c r="G11">
        <v>0</v>
      </c>
      <c r="H11" t="s">
        <v>13</v>
      </c>
      <c r="I11" t="s">
        <v>13</v>
      </c>
      <c r="J11">
        <v>98</v>
      </c>
      <c r="K11">
        <v>96.4</v>
      </c>
      <c r="L11" t="s">
        <v>13</v>
      </c>
    </row>
    <row r="12" spans="1:12">
      <c r="A12" t="s">
        <v>14</v>
      </c>
      <c r="B12">
        <v>12</v>
      </c>
      <c r="C12">
        <v>3</v>
      </c>
      <c r="D12">
        <v>9</v>
      </c>
      <c r="E12">
        <v>9022.91</v>
      </c>
      <c r="F12" t="s">
        <v>13</v>
      </c>
      <c r="G12">
        <v>0</v>
      </c>
      <c r="H12" t="s">
        <v>13</v>
      </c>
      <c r="I12" t="s">
        <v>13</v>
      </c>
      <c r="J12">
        <v>90</v>
      </c>
      <c r="K12">
        <v>25</v>
      </c>
      <c r="L12" t="s">
        <v>13</v>
      </c>
    </row>
  </sheetData>
  <pageMargins left="0.7" right="0.7" top="0.75" bottom="0.75" header="0.3" footer="0.3"/>
  <ignoredErrors>
    <ignoredError sqref="A1:L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14"/>
  <sheetViews>
    <sheetView workbookViewId="0"/>
  </sheetViews>
  <sheetFormatPr defaultRowHeight="15.75"/>
  <cols>
    <col min="6" max="6" width="10.875" bestFit="1" customWidth="1"/>
  </cols>
  <sheetData>
    <row r="2" spans="1:17">
      <c r="A2" t="s">
        <v>21</v>
      </c>
      <c r="B2" t="s">
        <v>22</v>
      </c>
      <c r="C2" t="s">
        <v>23</v>
      </c>
      <c r="D2" t="s">
        <v>24</v>
      </c>
      <c r="E2" t="s">
        <v>25</v>
      </c>
      <c r="F2" t="s">
        <v>26</v>
      </c>
      <c r="G2" t="s">
        <v>27</v>
      </c>
      <c r="H2" t="s">
        <v>28</v>
      </c>
      <c r="I2" t="s">
        <v>29</v>
      </c>
      <c r="J2" t="s">
        <v>30</v>
      </c>
      <c r="K2" t="s">
        <v>31</v>
      </c>
      <c r="L2" t="s">
        <v>32</v>
      </c>
      <c r="M2" t="s">
        <v>33</v>
      </c>
      <c r="N2" t="s">
        <v>34</v>
      </c>
      <c r="O2" t="s">
        <v>35</v>
      </c>
      <c r="P2" t="s">
        <v>36</v>
      </c>
      <c r="Q2" t="s">
        <v>2</v>
      </c>
    </row>
    <row r="3" spans="1:17">
      <c r="A3">
        <v>202407</v>
      </c>
      <c r="B3">
        <v>875062</v>
      </c>
      <c r="C3">
        <v>20377</v>
      </c>
      <c r="D3" t="s">
        <v>37</v>
      </c>
      <c r="E3" t="s">
        <v>38</v>
      </c>
      <c r="F3" t="s">
        <v>39</v>
      </c>
      <c r="G3" t="s">
        <v>40</v>
      </c>
      <c r="H3" t="s">
        <v>41</v>
      </c>
      <c r="I3" t="s">
        <v>42</v>
      </c>
      <c r="J3" t="s">
        <v>43</v>
      </c>
      <c r="K3" t="s">
        <v>44</v>
      </c>
      <c r="L3" t="s">
        <v>45</v>
      </c>
      <c r="M3">
        <v>114</v>
      </c>
      <c r="N3">
        <v>114</v>
      </c>
      <c r="O3">
        <v>100</v>
      </c>
      <c r="P3">
        <v>0</v>
      </c>
    </row>
    <row r="4" spans="1:17">
      <c r="A4">
        <v>202407</v>
      </c>
      <c r="B4">
        <v>875062</v>
      </c>
      <c r="C4">
        <v>20377</v>
      </c>
      <c r="D4" t="s">
        <v>37</v>
      </c>
      <c r="E4" t="s">
        <v>38</v>
      </c>
      <c r="F4" t="s">
        <v>46</v>
      </c>
      <c r="G4" t="s">
        <v>40</v>
      </c>
      <c r="H4" t="s">
        <v>41</v>
      </c>
      <c r="I4" t="s">
        <v>47</v>
      </c>
      <c r="J4" t="s">
        <v>43</v>
      </c>
      <c r="K4" t="s">
        <v>44</v>
      </c>
      <c r="L4" t="s">
        <v>45</v>
      </c>
      <c r="M4">
        <v>61</v>
      </c>
      <c r="N4">
        <v>61</v>
      </c>
      <c r="O4">
        <v>100</v>
      </c>
      <c r="P4">
        <v>0</v>
      </c>
    </row>
    <row r="5" spans="1:17">
      <c r="A5">
        <v>202407</v>
      </c>
      <c r="B5">
        <v>875062</v>
      </c>
      <c r="C5">
        <v>20377</v>
      </c>
      <c r="D5" t="s">
        <v>37</v>
      </c>
      <c r="E5" t="s">
        <v>38</v>
      </c>
      <c r="F5" t="s">
        <v>48</v>
      </c>
      <c r="G5" t="s">
        <v>40</v>
      </c>
      <c r="H5" t="s">
        <v>41</v>
      </c>
      <c r="I5" t="s">
        <v>49</v>
      </c>
      <c r="J5" t="s">
        <v>43</v>
      </c>
      <c r="K5" t="s">
        <v>44</v>
      </c>
      <c r="L5" t="s">
        <v>45</v>
      </c>
      <c r="M5">
        <v>44</v>
      </c>
      <c r="N5">
        <v>44</v>
      </c>
      <c r="O5">
        <v>100</v>
      </c>
      <c r="P5">
        <v>0</v>
      </c>
    </row>
    <row r="6" spans="1:17">
      <c r="A6">
        <v>202407</v>
      </c>
      <c r="B6">
        <v>875062</v>
      </c>
      <c r="C6">
        <v>20377</v>
      </c>
      <c r="D6" t="s">
        <v>37</v>
      </c>
      <c r="E6" t="s">
        <v>38</v>
      </c>
      <c r="F6" t="s">
        <v>50</v>
      </c>
      <c r="G6" t="s">
        <v>40</v>
      </c>
      <c r="H6" t="s">
        <v>41</v>
      </c>
      <c r="I6" t="s">
        <v>51</v>
      </c>
      <c r="J6" t="s">
        <v>52</v>
      </c>
      <c r="K6" t="s">
        <v>53</v>
      </c>
      <c r="L6" t="s">
        <v>54</v>
      </c>
      <c r="M6">
        <v>39</v>
      </c>
      <c r="N6">
        <v>39</v>
      </c>
      <c r="O6">
        <v>100</v>
      </c>
      <c r="P6">
        <v>0</v>
      </c>
    </row>
    <row r="7" spans="1:17">
      <c r="A7">
        <v>202407</v>
      </c>
      <c r="B7">
        <v>875062</v>
      </c>
      <c r="C7">
        <v>20377</v>
      </c>
      <c r="D7" t="s">
        <v>37</v>
      </c>
      <c r="E7" t="s">
        <v>38</v>
      </c>
      <c r="F7" t="s">
        <v>55</v>
      </c>
      <c r="G7" t="s">
        <v>56</v>
      </c>
      <c r="H7" t="s">
        <v>57</v>
      </c>
      <c r="I7" t="s">
        <v>42</v>
      </c>
      <c r="J7" t="s">
        <v>43</v>
      </c>
      <c r="K7" t="s">
        <v>44</v>
      </c>
      <c r="L7" t="s">
        <v>45</v>
      </c>
      <c r="M7">
        <v>10</v>
      </c>
      <c r="N7">
        <v>10</v>
      </c>
      <c r="O7">
        <v>100</v>
      </c>
      <c r="P7">
        <v>0</v>
      </c>
    </row>
    <row r="8" spans="1:17">
      <c r="A8">
        <v>202407</v>
      </c>
      <c r="B8">
        <v>875062</v>
      </c>
      <c r="C8">
        <v>20377</v>
      </c>
      <c r="D8" t="s">
        <v>37</v>
      </c>
      <c r="E8" t="s">
        <v>38</v>
      </c>
      <c r="F8" t="s">
        <v>58</v>
      </c>
      <c r="G8" t="s">
        <v>56</v>
      </c>
      <c r="H8" t="s">
        <v>57</v>
      </c>
      <c r="I8" t="s">
        <v>51</v>
      </c>
      <c r="J8" t="s">
        <v>52</v>
      </c>
      <c r="K8" t="s">
        <v>53</v>
      </c>
      <c r="L8" t="s">
        <v>54</v>
      </c>
      <c r="M8">
        <v>2</v>
      </c>
      <c r="N8">
        <v>2</v>
      </c>
      <c r="O8">
        <v>100</v>
      </c>
      <c r="P8">
        <v>0</v>
      </c>
    </row>
    <row r="9" spans="1:17">
      <c r="A9">
        <v>202407</v>
      </c>
      <c r="B9">
        <v>875062</v>
      </c>
      <c r="C9">
        <v>20377</v>
      </c>
      <c r="D9" t="s">
        <v>37</v>
      </c>
      <c r="E9" t="s">
        <v>38</v>
      </c>
      <c r="F9" t="s">
        <v>59</v>
      </c>
      <c r="G9" t="s">
        <v>56</v>
      </c>
      <c r="H9" t="s">
        <v>57</v>
      </c>
      <c r="I9" t="s">
        <v>49</v>
      </c>
      <c r="J9" t="s">
        <v>43</v>
      </c>
      <c r="K9" t="s">
        <v>44</v>
      </c>
      <c r="L9" t="s">
        <v>45</v>
      </c>
      <c r="M9">
        <v>13</v>
      </c>
      <c r="N9">
        <v>13</v>
      </c>
      <c r="O9">
        <v>100</v>
      </c>
      <c r="P9">
        <v>0</v>
      </c>
    </row>
    <row r="10" spans="1:17">
      <c r="A10">
        <v>202407</v>
      </c>
      <c r="B10">
        <v>875062</v>
      </c>
      <c r="C10">
        <v>20377</v>
      </c>
      <c r="D10" t="s">
        <v>37</v>
      </c>
      <c r="E10" t="s">
        <v>38</v>
      </c>
      <c r="F10" t="s">
        <v>60</v>
      </c>
      <c r="G10" t="s">
        <v>61</v>
      </c>
      <c r="H10" t="s">
        <v>62</v>
      </c>
      <c r="I10" t="s">
        <v>42</v>
      </c>
      <c r="J10" t="s">
        <v>43</v>
      </c>
      <c r="K10" t="s">
        <v>44</v>
      </c>
      <c r="L10" t="s">
        <v>45</v>
      </c>
      <c r="M10">
        <v>21</v>
      </c>
      <c r="N10">
        <v>21</v>
      </c>
      <c r="O10">
        <v>100</v>
      </c>
      <c r="P10">
        <v>0</v>
      </c>
    </row>
    <row r="11" spans="1:17">
      <c r="A11">
        <v>202407</v>
      </c>
      <c r="B11">
        <v>875062</v>
      </c>
      <c r="C11">
        <v>20377</v>
      </c>
      <c r="D11" t="s">
        <v>37</v>
      </c>
      <c r="E11" t="s">
        <v>38</v>
      </c>
      <c r="F11" t="s">
        <v>63</v>
      </c>
      <c r="G11" t="s">
        <v>61</v>
      </c>
      <c r="H11" t="s">
        <v>62</v>
      </c>
      <c r="I11" t="s">
        <v>51</v>
      </c>
      <c r="J11" t="s">
        <v>52</v>
      </c>
      <c r="K11" t="s">
        <v>53</v>
      </c>
      <c r="L11" t="s">
        <v>54</v>
      </c>
      <c r="M11">
        <v>11</v>
      </c>
      <c r="N11">
        <v>11</v>
      </c>
      <c r="O11">
        <v>100</v>
      </c>
      <c r="P11">
        <v>0</v>
      </c>
    </row>
    <row r="12" spans="1:17">
      <c r="A12">
        <v>202407</v>
      </c>
      <c r="B12">
        <v>875062</v>
      </c>
      <c r="C12">
        <v>20377</v>
      </c>
      <c r="D12" t="s">
        <v>37</v>
      </c>
      <c r="E12" t="s">
        <v>38</v>
      </c>
      <c r="F12" t="s">
        <v>64</v>
      </c>
      <c r="G12" t="s">
        <v>65</v>
      </c>
      <c r="H12" t="s">
        <v>66</v>
      </c>
      <c r="I12" t="s">
        <v>47</v>
      </c>
      <c r="J12" t="s">
        <v>43</v>
      </c>
      <c r="K12" t="s">
        <v>44</v>
      </c>
      <c r="L12" t="s">
        <v>45</v>
      </c>
      <c r="M12">
        <v>10</v>
      </c>
      <c r="N12">
        <v>10</v>
      </c>
      <c r="O12">
        <v>100</v>
      </c>
      <c r="P12">
        <v>0</v>
      </c>
    </row>
    <row r="13" spans="1:17">
      <c r="A13">
        <v>202407</v>
      </c>
      <c r="B13">
        <v>875062</v>
      </c>
      <c r="C13">
        <v>20377</v>
      </c>
      <c r="D13" t="s">
        <v>37</v>
      </c>
      <c r="E13" t="s">
        <v>38</v>
      </c>
      <c r="F13" t="s">
        <v>67</v>
      </c>
      <c r="G13" t="s">
        <v>65</v>
      </c>
      <c r="H13" t="s">
        <v>66</v>
      </c>
      <c r="I13" t="s">
        <v>51</v>
      </c>
      <c r="J13" t="s">
        <v>52</v>
      </c>
      <c r="K13" t="s">
        <v>53</v>
      </c>
      <c r="L13" t="s">
        <v>54</v>
      </c>
      <c r="M13">
        <v>46</v>
      </c>
      <c r="N13">
        <v>46</v>
      </c>
      <c r="O13">
        <v>100</v>
      </c>
      <c r="P13">
        <v>0</v>
      </c>
    </row>
    <row r="14" spans="1:17">
      <c r="A14">
        <v>202407</v>
      </c>
      <c r="B14">
        <v>875062</v>
      </c>
      <c r="C14">
        <v>20377</v>
      </c>
      <c r="D14" t="s">
        <v>37</v>
      </c>
      <c r="E14" t="s">
        <v>38</v>
      </c>
      <c r="F14" t="s">
        <v>68</v>
      </c>
      <c r="G14" t="s">
        <v>65</v>
      </c>
      <c r="H14" t="s">
        <v>66</v>
      </c>
      <c r="I14" t="s">
        <v>42</v>
      </c>
      <c r="J14" t="s">
        <v>43</v>
      </c>
      <c r="K14" t="s">
        <v>44</v>
      </c>
      <c r="L14" t="s">
        <v>45</v>
      </c>
      <c r="M14">
        <v>18</v>
      </c>
      <c r="N14">
        <v>4</v>
      </c>
      <c r="O14">
        <v>22.22</v>
      </c>
      <c r="P14">
        <v>404.99</v>
      </c>
    </row>
  </sheetData>
  <pageMargins left="0.7" right="0.7" top="0.75" bottom="0.75" header="0.3" footer="0.3"/>
  <ignoredErrors>
    <ignoredError sqref="A1:Q14"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9"/>
  <sheetViews>
    <sheetView tabSelected="1" topLeftCell="R1" workbookViewId="0">
      <selection activeCell="AF1" sqref="AF1:AF1048576"/>
    </sheetView>
  </sheetViews>
  <sheetFormatPr defaultRowHeight="15.75"/>
  <cols>
    <col min="1" max="1" width="10.875" bestFit="1" customWidth="1"/>
    <col min="2" max="2" width="14" bestFit="1" customWidth="1"/>
    <col min="3" max="3" width="15.5" customWidth="1"/>
    <col min="4" max="4" width="16.125" bestFit="1" customWidth="1"/>
    <col min="5" max="5" width="12.375" bestFit="1" customWidth="1"/>
    <col min="6" max="6" width="10.875" bestFit="1" customWidth="1"/>
    <col min="7" max="7" width="13.625" bestFit="1" customWidth="1"/>
    <col min="8" max="8" width="15.125" customWidth="1"/>
    <col min="9" max="9" width="15.625" customWidth="1"/>
    <col min="10" max="10" width="18.375" bestFit="1" customWidth="1"/>
    <col min="11" max="11" width="20.625" customWidth="1"/>
    <col min="12" max="12" width="18.875" bestFit="1" customWidth="1"/>
    <col min="13" max="13" width="13.625" customWidth="1"/>
    <col min="14" max="14" width="17" customWidth="1"/>
    <col min="15" max="15" width="19.375" bestFit="1" customWidth="1"/>
    <col min="16" max="16" width="11" bestFit="1" customWidth="1"/>
    <col min="17" max="17" width="20.125" bestFit="1" customWidth="1"/>
    <col min="18" max="18" width="17.625" customWidth="1"/>
    <col min="19" max="19" width="20.75" customWidth="1"/>
    <col min="20" max="20" width="19.25" customWidth="1"/>
    <col min="21" max="21" width="13.5" customWidth="1"/>
    <col min="22" max="22" width="19.25" customWidth="1"/>
    <col min="23" max="23" width="18.625" customWidth="1"/>
    <col min="24" max="24" width="12.5" bestFit="1" customWidth="1"/>
    <col min="25" max="26" width="19.375" customWidth="1"/>
    <col min="27" max="27" width="14.5" bestFit="1" customWidth="1"/>
    <col min="28" max="28" width="9.25" customWidth="1"/>
    <col min="29" max="30" width="9" customWidth="1"/>
    <col min="31" max="31" width="6.625" customWidth="1"/>
    <col min="32" max="32" width="19" customWidth="1"/>
    <col min="33" max="33" width="25.5" customWidth="1"/>
    <col min="34" max="34" width="11.375" customWidth="1"/>
    <col min="35" max="35" width="12.125" hidden="1" customWidth="1"/>
    <col min="36" max="36" width="29" hidden="1" customWidth="1"/>
    <col min="37" max="37" width="13.5" bestFit="1" customWidth="1"/>
    <col min="38" max="38" width="11.125" bestFit="1" customWidth="1"/>
    <col min="39" max="39" width="19.75" hidden="1" customWidth="1"/>
    <col min="40" max="41" width="9.625" bestFit="1" customWidth="1"/>
  </cols>
  <sheetData>
    <row r="1" spans="1:38" ht="16.5" thickBot="1"/>
    <row r="2" spans="1:38" s="2" customFormat="1" ht="48.75">
      <c r="A2" s="3" t="s">
        <v>26</v>
      </c>
      <c r="B2" s="3" t="s">
        <v>27</v>
      </c>
      <c r="C2" s="3" t="s">
        <v>69</v>
      </c>
      <c r="D2" s="3" t="s">
        <v>31</v>
      </c>
      <c r="E2" s="3" t="s">
        <v>70</v>
      </c>
      <c r="F2" s="3" t="s">
        <v>71</v>
      </c>
      <c r="G2" s="3" t="s">
        <v>72</v>
      </c>
      <c r="H2" s="11" t="s">
        <v>73</v>
      </c>
      <c r="I2" s="12" t="s">
        <v>74</v>
      </c>
      <c r="J2" s="12" t="s">
        <v>75</v>
      </c>
      <c r="K2" s="13" t="s">
        <v>76</v>
      </c>
      <c r="L2" s="21" t="s">
        <v>77</v>
      </c>
      <c r="M2" s="25" t="s">
        <v>78</v>
      </c>
      <c r="N2" s="13" t="s">
        <v>79</v>
      </c>
      <c r="O2" s="23" t="s">
        <v>80</v>
      </c>
      <c r="P2" s="3" t="s">
        <v>81</v>
      </c>
      <c r="Q2" s="3" t="s">
        <v>82</v>
      </c>
      <c r="R2" s="3" t="s">
        <v>83</v>
      </c>
      <c r="S2" s="3" t="s">
        <v>84</v>
      </c>
      <c r="T2" s="3" t="s">
        <v>36</v>
      </c>
      <c r="U2" s="3" t="s">
        <v>85</v>
      </c>
      <c r="V2" s="3" t="s">
        <v>86</v>
      </c>
      <c r="W2" s="3" t="s">
        <v>87</v>
      </c>
      <c r="X2" s="11" t="s">
        <v>88</v>
      </c>
      <c r="Y2" s="13" t="s">
        <v>89</v>
      </c>
      <c r="Z2" s="3" t="s">
        <v>90</v>
      </c>
      <c r="AA2" s="3" t="s">
        <v>91</v>
      </c>
      <c r="AB2" s="3" t="s">
        <v>92</v>
      </c>
      <c r="AC2" s="3" t="s">
        <v>93</v>
      </c>
      <c r="AD2" s="3" t="s">
        <v>94</v>
      </c>
    </row>
    <row r="3" spans="1:38">
      <c r="A3" s="4" t="s">
        <v>39</v>
      </c>
      <c r="B3" s="4" t="s">
        <v>40</v>
      </c>
      <c r="C3" s="4" t="s">
        <v>95</v>
      </c>
      <c r="D3" s="4" t="s">
        <v>44</v>
      </c>
      <c r="E3" s="4" t="s">
        <v>96</v>
      </c>
      <c r="F3" s="4" t="s">
        <v>41</v>
      </c>
      <c r="G3" s="7">
        <v>45492</v>
      </c>
      <c r="H3" s="14">
        <v>45492.590277777781</v>
      </c>
      <c r="I3" s="5">
        <v>0.59027777777777779</v>
      </c>
      <c r="J3" s="5" t="s">
        <v>97</v>
      </c>
      <c r="K3" s="15">
        <f>H3-B3</f>
        <v>1.5902777777810115</v>
      </c>
      <c r="L3" s="22" t="s">
        <v>98</v>
      </c>
      <c r="M3" s="26">
        <f>L3-H3</f>
        <v>3.9965277777737356</v>
      </c>
      <c r="N3" s="27">
        <f>ROUND(E3-L3,0)</f>
        <v>0</v>
      </c>
      <c r="O3" s="24" t="s">
        <v>96</v>
      </c>
      <c r="P3" s="4" t="s">
        <v>99</v>
      </c>
      <c r="Q3" s="4" t="s">
        <v>99</v>
      </c>
      <c r="R3" s="4">
        <v>227247090</v>
      </c>
      <c r="S3" s="4" t="s">
        <v>100</v>
      </c>
      <c r="T3" s="4">
        <v>3297.79</v>
      </c>
      <c r="U3" s="4" t="s">
        <v>101</v>
      </c>
      <c r="V3" s="4" t="s">
        <v>102</v>
      </c>
      <c r="W3" s="4" t="s">
        <v>103</v>
      </c>
      <c r="X3" s="32">
        <f>V3-E3</f>
        <v>2</v>
      </c>
      <c r="Y3" s="33">
        <f>V3-B3</f>
        <v>8</v>
      </c>
      <c r="Z3" s="7">
        <v>45499</v>
      </c>
      <c r="AA3" s="8">
        <v>0.26805555555555555</v>
      </c>
      <c r="AB3" s="6" t="b">
        <f>ROUND(ROUND(E3-L3,0),0)&gt;=2</f>
        <v>0</v>
      </c>
      <c r="AC3" s="9" t="b">
        <f>O3=E3</f>
        <v>1</v>
      </c>
      <c r="AD3" s="9" t="b">
        <f>Q3*1=R3*1</f>
        <v>1</v>
      </c>
    </row>
    <row r="4" spans="1:38">
      <c r="A4" s="4" t="s">
        <v>46</v>
      </c>
      <c r="B4" s="4" t="s">
        <v>40</v>
      </c>
      <c r="C4" s="4" t="s">
        <v>104</v>
      </c>
      <c r="D4" s="4" t="s">
        <v>44</v>
      </c>
      <c r="E4" s="4" t="s">
        <v>96</v>
      </c>
      <c r="F4" s="4" t="s">
        <v>41</v>
      </c>
      <c r="G4" s="7">
        <v>45492</v>
      </c>
      <c r="H4" s="14">
        <v>45492.590277777781</v>
      </c>
      <c r="I4" s="5">
        <v>0.59027777777777779</v>
      </c>
      <c r="J4" s="5" t="s">
        <v>97</v>
      </c>
      <c r="K4" s="15">
        <f>H4-B4</f>
        <v>1.5902777777810115</v>
      </c>
      <c r="L4" s="22" t="s">
        <v>105</v>
      </c>
      <c r="M4" s="28">
        <f>L4-H4</f>
        <v>3.9951388888875954</v>
      </c>
      <c r="N4" s="27">
        <f>ROUND(E4-L4,0)</f>
        <v>0</v>
      </c>
      <c r="O4" s="24" t="s">
        <v>96</v>
      </c>
      <c r="P4" s="4" t="s">
        <v>99</v>
      </c>
      <c r="Q4" s="4" t="s">
        <v>99</v>
      </c>
      <c r="R4" s="4">
        <v>227247090</v>
      </c>
      <c r="S4" s="4" t="s">
        <v>106</v>
      </c>
      <c r="T4" s="4">
        <v>1764.61</v>
      </c>
      <c r="U4" s="4" t="s">
        <v>101</v>
      </c>
      <c r="V4" s="4" t="s">
        <v>102</v>
      </c>
      <c r="W4" s="4" t="s">
        <v>103</v>
      </c>
      <c r="X4" s="32">
        <f>V4-E4</f>
        <v>2</v>
      </c>
      <c r="Y4" s="33">
        <f>V4-B4</f>
        <v>8</v>
      </c>
      <c r="Z4" s="7">
        <v>45499</v>
      </c>
      <c r="AA4" s="8">
        <v>0.26805555555555555</v>
      </c>
      <c r="AB4" s="6" t="b">
        <f>ROUND(ROUND(E4-L4,0),0)&gt;=2</f>
        <v>0</v>
      </c>
      <c r="AC4" s="9" t="b">
        <f>O4=E4</f>
        <v>1</v>
      </c>
      <c r="AD4" s="9" t="b">
        <f>Q4*1=R4*1</f>
        <v>1</v>
      </c>
    </row>
    <row r="5" spans="1:38">
      <c r="A5" s="4" t="s">
        <v>48</v>
      </c>
      <c r="B5" s="4" t="s">
        <v>40</v>
      </c>
      <c r="C5" s="4" t="s">
        <v>107</v>
      </c>
      <c r="D5" s="4" t="s">
        <v>44</v>
      </c>
      <c r="E5" s="4" t="s">
        <v>96</v>
      </c>
      <c r="F5" s="4" t="s">
        <v>41</v>
      </c>
      <c r="G5" s="7">
        <v>45491</v>
      </c>
      <c r="H5" s="16">
        <v>45495.534722222219</v>
      </c>
      <c r="I5" s="10">
        <v>0.53472222222222221</v>
      </c>
      <c r="J5" s="10" t="s">
        <v>97</v>
      </c>
      <c r="K5" s="17">
        <f>H5-B5</f>
        <v>4.5347222222189885</v>
      </c>
      <c r="L5" s="22" t="s">
        <v>108</v>
      </c>
      <c r="M5" s="29">
        <f>L5-H5</f>
        <v>0.8868055555576575</v>
      </c>
      <c r="N5" s="27">
        <f>ROUND(E5-L5,0)</f>
        <v>1</v>
      </c>
      <c r="O5" s="24" t="s">
        <v>96</v>
      </c>
      <c r="P5" s="4" t="s">
        <v>109</v>
      </c>
      <c r="Q5" s="4" t="s">
        <v>109</v>
      </c>
      <c r="R5" s="4">
        <v>227239709</v>
      </c>
      <c r="S5" s="4" t="s">
        <v>110</v>
      </c>
      <c r="T5" s="4">
        <v>1272.83</v>
      </c>
      <c r="U5" s="4" t="s">
        <v>111</v>
      </c>
      <c r="V5" s="4" t="s">
        <v>112</v>
      </c>
      <c r="W5" s="4" t="s">
        <v>113</v>
      </c>
      <c r="X5" s="32">
        <f>V5-E5</f>
        <v>6</v>
      </c>
      <c r="Y5" s="33">
        <f>V5-B5</f>
        <v>12</v>
      </c>
      <c r="Z5" s="7">
        <v>45497</v>
      </c>
      <c r="AA5" s="8">
        <v>0.42777777777777776</v>
      </c>
      <c r="AB5" s="6" t="b">
        <f>ROUND(ROUND(E5-L5,0),0)&gt;=2</f>
        <v>0</v>
      </c>
      <c r="AC5" s="9" t="b">
        <f>O5=E5</f>
        <v>1</v>
      </c>
      <c r="AD5" s="9" t="b">
        <f>Q5*1=R5*1</f>
        <v>1</v>
      </c>
    </row>
    <row r="6" spans="1:38">
      <c r="A6" s="4" t="s">
        <v>50</v>
      </c>
      <c r="B6" s="4" t="s">
        <v>40</v>
      </c>
      <c r="C6" s="4" t="s">
        <v>114</v>
      </c>
      <c r="D6" s="4" t="s">
        <v>53</v>
      </c>
      <c r="E6" s="4" t="s">
        <v>96</v>
      </c>
      <c r="F6" s="4" t="s">
        <v>41</v>
      </c>
      <c r="G6" s="7">
        <v>45492</v>
      </c>
      <c r="H6" s="14">
        <v>45492.590277777781</v>
      </c>
      <c r="I6" s="5">
        <v>0.59027777777777779</v>
      </c>
      <c r="J6" s="5" t="s">
        <v>97</v>
      </c>
      <c r="K6" s="15">
        <f>H6-B6</f>
        <v>1.5902777777810115</v>
      </c>
      <c r="L6" s="22" t="s">
        <v>115</v>
      </c>
      <c r="M6" s="28">
        <f>L6-H6</f>
        <v>3.9972222222204437</v>
      </c>
      <c r="N6" s="27">
        <f>ROUND(E6-L6,0)</f>
        <v>0</v>
      </c>
      <c r="O6" s="24" t="s">
        <v>96</v>
      </c>
      <c r="P6" s="4" t="s">
        <v>99</v>
      </c>
      <c r="Q6" s="4" t="s">
        <v>99</v>
      </c>
      <c r="R6" s="4">
        <v>227247090</v>
      </c>
      <c r="S6" s="4" t="s">
        <v>116</v>
      </c>
      <c r="T6" s="4">
        <v>680.55</v>
      </c>
      <c r="U6" s="4" t="s">
        <v>101</v>
      </c>
      <c r="V6" s="4" t="s">
        <v>102</v>
      </c>
      <c r="W6" s="4" t="s">
        <v>103</v>
      </c>
      <c r="X6" s="32">
        <f>V6-E6</f>
        <v>2</v>
      </c>
      <c r="Y6" s="33">
        <f>V6-B6</f>
        <v>8</v>
      </c>
      <c r="Z6" s="7">
        <v>45499</v>
      </c>
      <c r="AA6" s="8">
        <v>0.26805555555555555</v>
      </c>
      <c r="AB6" s="6" t="b">
        <f>ROUND(ROUND(E6-L6,0),0)&gt;=2</f>
        <v>0</v>
      </c>
      <c r="AC6" s="9" t="b">
        <f>O6=E6</f>
        <v>1</v>
      </c>
      <c r="AD6" s="9" t="b">
        <f>Q6*1=R6*1</f>
        <v>1</v>
      </c>
    </row>
    <row r="7" spans="1:38">
      <c r="A7" s="4" t="s">
        <v>60</v>
      </c>
      <c r="B7" s="4" t="s">
        <v>61</v>
      </c>
      <c r="C7" s="4" t="s">
        <v>117</v>
      </c>
      <c r="D7" s="4" t="s">
        <v>44</v>
      </c>
      <c r="E7" s="4" t="s">
        <v>118</v>
      </c>
      <c r="F7" s="4" t="s">
        <v>62</v>
      </c>
      <c r="G7" s="7">
        <v>45509</v>
      </c>
      <c r="H7" s="16">
        <v>45509.409722222219</v>
      </c>
      <c r="I7" s="10">
        <v>0.40972222222222221</v>
      </c>
      <c r="J7" s="10" t="s">
        <v>97</v>
      </c>
      <c r="K7" s="17">
        <f>H7-B7</f>
        <v>4.4097222222189885</v>
      </c>
      <c r="L7" s="22" t="s">
        <v>119</v>
      </c>
      <c r="M7" s="29">
        <f>L7-H7</f>
        <v>0.16875000000436557</v>
      </c>
      <c r="N7" s="27">
        <f>ROUND(E7-L7,0)</f>
        <v>1</v>
      </c>
      <c r="O7" s="24" t="s">
        <v>118</v>
      </c>
      <c r="P7" s="4" t="s">
        <v>120</v>
      </c>
      <c r="Q7" s="4" t="s">
        <v>121</v>
      </c>
      <c r="R7" s="4">
        <v>227341752</v>
      </c>
      <c r="S7" s="4" t="s">
        <v>122</v>
      </c>
      <c r="T7" s="4">
        <v>607.49</v>
      </c>
      <c r="U7" s="4" t="s">
        <v>123</v>
      </c>
      <c r="V7" s="4" t="s">
        <v>65</v>
      </c>
      <c r="W7" s="4" t="s">
        <v>124</v>
      </c>
      <c r="X7" s="32">
        <f>V7-E7</f>
        <v>1</v>
      </c>
      <c r="Y7" s="33">
        <f>V7-B7</f>
        <v>7</v>
      </c>
      <c r="Z7" s="7">
        <v>45512</v>
      </c>
      <c r="AA7" s="8">
        <v>0.37916666666666665</v>
      </c>
      <c r="AB7" s="6" t="b">
        <f>ROUND(ROUND(E7-L7,0),0)&gt;=2</f>
        <v>0</v>
      </c>
      <c r="AC7" s="9" t="b">
        <f>O7=E7</f>
        <v>1</v>
      </c>
      <c r="AD7" s="9" t="b">
        <f>Q7*1=R7*1</f>
        <v>1</v>
      </c>
    </row>
    <row r="8" spans="1:38">
      <c r="A8" s="4" t="s">
        <v>63</v>
      </c>
      <c r="B8" s="4" t="s">
        <v>61</v>
      </c>
      <c r="C8" s="4" t="s">
        <v>125</v>
      </c>
      <c r="D8" s="4" t="s">
        <v>53</v>
      </c>
      <c r="E8" s="4" t="s">
        <v>118</v>
      </c>
      <c r="F8" s="4" t="s">
        <v>62</v>
      </c>
      <c r="G8" s="7">
        <v>45509</v>
      </c>
      <c r="H8" s="16">
        <v>45509.409722222219</v>
      </c>
      <c r="I8" s="10">
        <v>0.40972222222222221</v>
      </c>
      <c r="J8" s="10" t="s">
        <v>97</v>
      </c>
      <c r="K8" s="17">
        <f>H8-B8</f>
        <v>4.4097222222189885</v>
      </c>
      <c r="L8" s="22" t="s">
        <v>126</v>
      </c>
      <c r="M8" s="29">
        <f>L8-H8</f>
        <v>1.1868055555605679</v>
      </c>
      <c r="N8" s="27">
        <f>ROUND(E8-L8,0)</f>
        <v>0</v>
      </c>
      <c r="O8" s="24" t="s">
        <v>118</v>
      </c>
      <c r="P8" s="4" t="s">
        <v>127</v>
      </c>
      <c r="Q8" s="4" t="s">
        <v>128</v>
      </c>
      <c r="R8" s="4">
        <v>227350441</v>
      </c>
      <c r="S8" s="4" t="s">
        <v>129</v>
      </c>
      <c r="T8" s="4">
        <v>191.95</v>
      </c>
      <c r="U8" s="4" t="s">
        <v>130</v>
      </c>
      <c r="V8" s="4" t="s">
        <v>131</v>
      </c>
      <c r="W8" s="4" t="s">
        <v>132</v>
      </c>
      <c r="X8" s="32">
        <f>V8-E8</f>
        <v>7</v>
      </c>
      <c r="Y8" s="33">
        <f>V8-B8</f>
        <v>13</v>
      </c>
      <c r="Z8" s="7">
        <v>45513</v>
      </c>
      <c r="AA8" s="8">
        <v>0.30555555555555558</v>
      </c>
      <c r="AB8" s="6" t="b">
        <f>ROUND(ROUND(E8-L8,0),0)&gt;=2</f>
        <v>0</v>
      </c>
      <c r="AC8" s="9" t="b">
        <f>O8=E8</f>
        <v>1</v>
      </c>
      <c r="AD8" s="9" t="b">
        <f>Q8*1=R8*1</f>
        <v>1</v>
      </c>
    </row>
    <row r="9" spans="1:38">
      <c r="A9" s="4" t="s">
        <v>64</v>
      </c>
      <c r="B9" s="4" t="s">
        <v>65</v>
      </c>
      <c r="C9" s="4" t="s">
        <v>133</v>
      </c>
      <c r="D9" s="4" t="s">
        <v>44</v>
      </c>
      <c r="E9" s="4" t="s">
        <v>131</v>
      </c>
      <c r="F9" s="4" t="s">
        <v>66</v>
      </c>
      <c r="G9" s="7">
        <v>45516</v>
      </c>
      <c r="H9" s="16">
        <v>45516.388888888891</v>
      </c>
      <c r="I9" s="10">
        <v>0.3888888888888889</v>
      </c>
      <c r="J9" s="10" t="s">
        <v>97</v>
      </c>
      <c r="K9" s="17">
        <f>H9-B9</f>
        <v>4.3888888888905058</v>
      </c>
      <c r="L9" s="22" t="s">
        <v>134</v>
      </c>
      <c r="M9" s="29">
        <f>L9-H9</f>
        <v>1.148611111108039</v>
      </c>
      <c r="N9" s="27">
        <f>ROUND(E9-L9,0)</f>
        <v>0</v>
      </c>
      <c r="O9" s="24" t="s">
        <v>131</v>
      </c>
      <c r="P9" s="4" t="s">
        <v>135</v>
      </c>
      <c r="Q9" s="4" t="s">
        <v>136</v>
      </c>
      <c r="R9" s="4">
        <v>227406187</v>
      </c>
      <c r="S9" s="4" t="s">
        <v>137</v>
      </c>
      <c r="T9" s="4">
        <v>289.27999999999997</v>
      </c>
      <c r="U9" s="4" t="s">
        <v>138</v>
      </c>
      <c r="V9" s="4" t="s">
        <v>139</v>
      </c>
      <c r="W9" s="4" t="s">
        <v>140</v>
      </c>
      <c r="X9" s="32">
        <f>V9-E9</f>
        <v>2</v>
      </c>
      <c r="Y9" s="33">
        <f>V9-B9</f>
        <v>8</v>
      </c>
      <c r="Z9" s="7">
        <v>45520</v>
      </c>
      <c r="AA9" s="8">
        <v>0.27291666666666664</v>
      </c>
      <c r="AB9" s="6" t="b">
        <f>ROUND(ROUND(E9-L9,0),0)&gt;=2</f>
        <v>0</v>
      </c>
      <c r="AC9" s="9" t="b">
        <f>O9=E9</f>
        <v>1</v>
      </c>
      <c r="AD9" s="9" t="b">
        <f>Q9*1=R9*1</f>
        <v>1</v>
      </c>
    </row>
    <row r="10" spans="1:38">
      <c r="A10" s="4" t="s">
        <v>67</v>
      </c>
      <c r="B10" s="4" t="s">
        <v>65</v>
      </c>
      <c r="C10" s="4" t="s">
        <v>141</v>
      </c>
      <c r="D10" s="4" t="s">
        <v>53</v>
      </c>
      <c r="E10" s="4" t="s">
        <v>131</v>
      </c>
      <c r="F10" s="4" t="s">
        <v>66</v>
      </c>
      <c r="G10" s="7">
        <v>45516</v>
      </c>
      <c r="H10" s="16">
        <v>45516.388888888891</v>
      </c>
      <c r="I10" s="10">
        <v>0.3888888888888889</v>
      </c>
      <c r="J10" s="10" t="s">
        <v>97</v>
      </c>
      <c r="K10" s="17">
        <f>H10-B10</f>
        <v>4.3888888888905058</v>
      </c>
      <c r="L10" s="22" t="s">
        <v>142</v>
      </c>
      <c r="M10" s="29">
        <f>L10-H10</f>
        <v>1.1500000000014552</v>
      </c>
      <c r="N10" s="27">
        <f>ROUND(E10-L10,0)</f>
        <v>0</v>
      </c>
      <c r="O10" s="24" t="s">
        <v>131</v>
      </c>
      <c r="P10" s="4" t="s">
        <v>143</v>
      </c>
      <c r="Q10" s="4" t="s">
        <v>136</v>
      </c>
      <c r="R10" s="4">
        <v>227406187</v>
      </c>
      <c r="S10" s="4" t="s">
        <v>144</v>
      </c>
      <c r="T10" s="4">
        <v>802.7</v>
      </c>
      <c r="U10" s="4" t="s">
        <v>145</v>
      </c>
      <c r="V10" s="4" t="s">
        <v>139</v>
      </c>
      <c r="W10" s="4" t="s">
        <v>140</v>
      </c>
      <c r="X10" s="32">
        <f>V10-E10</f>
        <v>2</v>
      </c>
      <c r="Y10" s="33">
        <f>V10-B10</f>
        <v>8</v>
      </c>
      <c r="Z10" s="7">
        <v>45520</v>
      </c>
      <c r="AA10" s="8">
        <v>0.27638888888888891</v>
      </c>
      <c r="AB10" s="6" t="b">
        <f>ROUND(ROUND(E10-L10,0),0)&gt;=2</f>
        <v>0</v>
      </c>
      <c r="AC10" s="9" t="b">
        <f>O10=E10</f>
        <v>1</v>
      </c>
      <c r="AD10" s="9" t="b">
        <f>Q10*1=R10*1</f>
        <v>1</v>
      </c>
    </row>
    <row r="11" spans="1:38" ht="16.5" thickBot="1">
      <c r="A11" s="4" t="s">
        <v>68</v>
      </c>
      <c r="B11" s="4" t="s">
        <v>65</v>
      </c>
      <c r="C11" s="4" t="s">
        <v>146</v>
      </c>
      <c r="D11" s="4" t="s">
        <v>44</v>
      </c>
      <c r="E11" s="4" t="s">
        <v>131</v>
      </c>
      <c r="F11" s="4" t="s">
        <v>66</v>
      </c>
      <c r="G11" s="7">
        <v>45516</v>
      </c>
      <c r="H11" s="18">
        <v>45516.388888888891</v>
      </c>
      <c r="I11" s="19">
        <v>0.3888888888888889</v>
      </c>
      <c r="J11" s="19" t="s">
        <v>97</v>
      </c>
      <c r="K11" s="20">
        <f>H11-B11</f>
        <v>4.3888888888905058</v>
      </c>
      <c r="L11" s="22" t="s">
        <v>147</v>
      </c>
      <c r="M11" s="30">
        <f>L11-H11</f>
        <v>1.1479166666686069</v>
      </c>
      <c r="N11" s="31">
        <f>ROUND(E11-L11,0)</f>
        <v>0</v>
      </c>
      <c r="O11" s="24" t="s">
        <v>131</v>
      </c>
      <c r="P11" s="4" t="s">
        <v>148</v>
      </c>
      <c r="Q11" s="4" t="s">
        <v>136</v>
      </c>
      <c r="R11" s="4">
        <v>227406187</v>
      </c>
      <c r="S11" s="4" t="s">
        <v>149</v>
      </c>
      <c r="T11" s="4">
        <v>115.71</v>
      </c>
      <c r="U11" s="4" t="s">
        <v>150</v>
      </c>
      <c r="V11" s="4" t="s">
        <v>139</v>
      </c>
      <c r="W11" s="4" t="s">
        <v>140</v>
      </c>
      <c r="X11" s="34">
        <f>V11-E11</f>
        <v>2</v>
      </c>
      <c r="Y11" s="35">
        <f>V11-B11</f>
        <v>8</v>
      </c>
      <c r="Z11" s="7">
        <v>45520</v>
      </c>
      <c r="AA11" s="8">
        <v>0.2673611111111111</v>
      </c>
      <c r="AB11" s="6" t="b">
        <f>ROUND(ROUND(E11-L11,0),0)&gt;=2</f>
        <v>0</v>
      </c>
      <c r="AC11" s="9" t="b">
        <f>O11=E11</f>
        <v>1</v>
      </c>
      <c r="AD11" s="9" t="b">
        <f>Q11*1=R11*1</f>
        <v>1</v>
      </c>
    </row>
    <row r="12" spans="1:38">
      <c r="AL12" s="1"/>
    </row>
    <row r="15" spans="1:38">
      <c r="C15" t="s">
        <v>151</v>
      </c>
    </row>
    <row r="16" spans="1:38">
      <c r="B16">
        <v>5</v>
      </c>
      <c r="C16" t="s">
        <v>152</v>
      </c>
    </row>
    <row r="17" spans="2:11">
      <c r="B17">
        <v>15</v>
      </c>
      <c r="C17" t="s">
        <v>153</v>
      </c>
    </row>
    <row r="18" spans="2:11">
      <c r="C18" t="s">
        <v>154</v>
      </c>
    </row>
    <row r="20" spans="2:11">
      <c r="C20" t="s">
        <v>155</v>
      </c>
      <c r="K20" t="s">
        <v>156</v>
      </c>
    </row>
    <row r="21" spans="2:11">
      <c r="C21" t="s">
        <v>157</v>
      </c>
      <c r="K21" t="s">
        <v>158</v>
      </c>
    </row>
    <row r="22" spans="2:11">
      <c r="C22" t="s">
        <v>159</v>
      </c>
      <c r="K22" t="s">
        <v>160</v>
      </c>
    </row>
    <row r="23" spans="2:11">
      <c r="C23" t="s">
        <v>161</v>
      </c>
      <c r="K23" t="s">
        <v>162</v>
      </c>
    </row>
    <row r="24" spans="2:11">
      <c r="C24" t="s">
        <v>163</v>
      </c>
    </row>
    <row r="25" spans="2:11">
      <c r="C25" t="s">
        <v>164</v>
      </c>
    </row>
    <row r="26" spans="2:11">
      <c r="C26" t="s">
        <v>165</v>
      </c>
    </row>
    <row r="27" spans="2:11">
      <c r="C27" t="s">
        <v>166</v>
      </c>
    </row>
    <row r="29" spans="2:11">
      <c r="C29" t="s">
        <v>167</v>
      </c>
    </row>
  </sheetData>
  <pageMargins left="0.7" right="0.7" top="0.75" bottom="0.75" header="0.3" footer="0.3"/>
  <ignoredErrors>
    <ignoredError sqref="O2:Q11 S2:W11 A2:B11 W1:Y1 N1:T1 L2 AA1:AH1 A1:G1 D2:F11" numberStoredAsText="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defaultRowHeight="15.75"/>
  <sheetData>
    <row r="1" spans="1:1">
      <c r="A1" t="s">
        <v>168</v>
      </c>
    </row>
    <row r="2" spans="1:1">
      <c r="A2" t="s">
        <v>169</v>
      </c>
    </row>
  </sheetData>
  <pageMargins left="0.7" right="0.7" top="0.75" bottom="0.75" header="0.3" footer="0.3"/>
  <ignoredErrors>
    <ignoredError sqref="A1:A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7"/>
  <sheetViews>
    <sheetView workbookViewId="0">
      <selection activeCell="H3" sqref="H3:H7"/>
    </sheetView>
  </sheetViews>
  <sheetFormatPr defaultRowHeight="15.75"/>
  <cols>
    <col min="3" max="3" width="13.25" bestFit="1" customWidth="1"/>
    <col min="8" max="8" width="19.75" bestFit="1" customWidth="1"/>
    <col min="9" max="9" width="10.875" bestFit="1" customWidth="1"/>
    <col min="12" max="12" width="21.5" bestFit="1" customWidth="1"/>
  </cols>
  <sheetData>
    <row r="2" spans="1:12">
      <c r="A2" t="s">
        <v>170</v>
      </c>
      <c r="B2" t="s">
        <v>22</v>
      </c>
      <c r="C2" t="s">
        <v>171</v>
      </c>
      <c r="D2" t="s">
        <v>172</v>
      </c>
      <c r="E2" t="s">
        <v>173</v>
      </c>
      <c r="F2" t="s">
        <v>174</v>
      </c>
      <c r="G2" t="s">
        <v>175</v>
      </c>
      <c r="H2" t="s">
        <v>176</v>
      </c>
      <c r="I2" t="s">
        <v>26</v>
      </c>
      <c r="J2" t="s">
        <v>27</v>
      </c>
      <c r="K2" t="s">
        <v>23</v>
      </c>
      <c r="L2" t="s">
        <v>83</v>
      </c>
    </row>
    <row r="3" spans="1:12">
      <c r="A3">
        <v>202407</v>
      </c>
      <c r="B3">
        <v>875062</v>
      </c>
      <c r="C3" t="s">
        <v>177</v>
      </c>
      <c r="D3">
        <v>100</v>
      </c>
      <c r="E3" t="s">
        <v>178</v>
      </c>
      <c r="F3" t="s">
        <v>179</v>
      </c>
      <c r="G3" t="s">
        <v>180</v>
      </c>
      <c r="H3" t="s">
        <v>181</v>
      </c>
      <c r="I3" t="s">
        <v>46</v>
      </c>
      <c r="J3" t="s">
        <v>40</v>
      </c>
      <c r="K3">
        <v>20377</v>
      </c>
      <c r="L3">
        <v>227247090</v>
      </c>
    </row>
    <row r="4" spans="1:12">
      <c r="A4">
        <v>202407</v>
      </c>
      <c r="B4">
        <v>875062</v>
      </c>
      <c r="C4" t="s">
        <v>177</v>
      </c>
      <c r="D4">
        <v>100</v>
      </c>
      <c r="E4" t="s">
        <v>178</v>
      </c>
      <c r="F4" t="s">
        <v>179</v>
      </c>
      <c r="G4" t="s">
        <v>182</v>
      </c>
      <c r="H4" t="s">
        <v>183</v>
      </c>
      <c r="I4" t="s">
        <v>39</v>
      </c>
      <c r="J4" t="s">
        <v>40</v>
      </c>
      <c r="K4">
        <v>20377</v>
      </c>
      <c r="L4">
        <v>227247090</v>
      </c>
    </row>
    <row r="5" spans="1:12">
      <c r="A5">
        <v>202407</v>
      </c>
      <c r="B5">
        <v>875062</v>
      </c>
      <c r="C5" t="s">
        <v>177</v>
      </c>
      <c r="D5">
        <v>100</v>
      </c>
      <c r="E5" t="s">
        <v>178</v>
      </c>
      <c r="F5" t="s">
        <v>179</v>
      </c>
      <c r="G5" t="s">
        <v>184</v>
      </c>
      <c r="H5" t="s">
        <v>185</v>
      </c>
      <c r="I5" t="s">
        <v>50</v>
      </c>
      <c r="J5" t="s">
        <v>40</v>
      </c>
      <c r="K5">
        <v>20377</v>
      </c>
      <c r="L5">
        <v>227247090</v>
      </c>
    </row>
    <row r="6" spans="1:12">
      <c r="A6">
        <v>202407</v>
      </c>
      <c r="B6">
        <v>875062</v>
      </c>
      <c r="C6" t="s">
        <v>177</v>
      </c>
      <c r="D6">
        <v>100</v>
      </c>
      <c r="E6" t="s">
        <v>186</v>
      </c>
      <c r="F6" t="s">
        <v>187</v>
      </c>
      <c r="G6" t="s">
        <v>188</v>
      </c>
      <c r="H6" t="s">
        <v>189</v>
      </c>
      <c r="I6" t="s">
        <v>59</v>
      </c>
      <c r="J6" t="s">
        <v>56</v>
      </c>
      <c r="K6">
        <v>20377</v>
      </c>
      <c r="L6">
        <v>227281514</v>
      </c>
    </row>
    <row r="7" spans="1:12">
      <c r="A7">
        <v>202407</v>
      </c>
      <c r="B7">
        <v>875062</v>
      </c>
      <c r="C7" t="s">
        <v>177</v>
      </c>
      <c r="D7">
        <v>100</v>
      </c>
      <c r="E7" t="s">
        <v>190</v>
      </c>
      <c r="F7" t="s">
        <v>191</v>
      </c>
      <c r="G7" t="s">
        <v>192</v>
      </c>
      <c r="H7" t="s">
        <v>193</v>
      </c>
      <c r="I7" t="s">
        <v>194</v>
      </c>
      <c r="J7" t="s">
        <v>195</v>
      </c>
      <c r="K7">
        <v>20377</v>
      </c>
      <c r="L7">
        <v>227197385</v>
      </c>
    </row>
  </sheetData>
  <pageMargins left="0.7" right="0.7" top="0.75" bottom="0.75" header="0.3" footer="0.3"/>
  <ignoredErrors>
    <ignoredError sqref="H1:L1 H2:K7 A1:G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2:Q10"/>
  <sheetViews>
    <sheetView workbookViewId="0">
      <selection activeCell="J3" sqref="J3:K10"/>
    </sheetView>
  </sheetViews>
  <sheetFormatPr defaultRowHeight="15.75"/>
  <cols>
    <col min="6" max="6" width="10.875" bestFit="1" customWidth="1"/>
    <col min="7" max="7" width="18.75" bestFit="1" customWidth="1"/>
    <col min="8" max="8" width="21.875" bestFit="1" customWidth="1"/>
    <col min="10" max="10" width="13.5" customWidth="1"/>
    <col min="11" max="11" width="10.875" bestFit="1" customWidth="1"/>
    <col min="12" max="12" width="13.625" bestFit="1" customWidth="1"/>
  </cols>
  <sheetData>
    <row r="2" spans="1:17">
      <c r="A2" t="s">
        <v>170</v>
      </c>
      <c r="B2" t="s">
        <v>22</v>
      </c>
      <c r="C2" t="s">
        <v>171</v>
      </c>
      <c r="D2" t="s">
        <v>172</v>
      </c>
      <c r="E2" t="s">
        <v>173</v>
      </c>
      <c r="F2" t="s">
        <v>26</v>
      </c>
      <c r="G2" t="s">
        <v>174</v>
      </c>
      <c r="H2" t="s">
        <v>175</v>
      </c>
      <c r="I2" t="s">
        <v>196</v>
      </c>
      <c r="J2" t="s">
        <v>176</v>
      </c>
      <c r="K2" t="s">
        <v>26</v>
      </c>
      <c r="L2" t="s">
        <v>27</v>
      </c>
      <c r="M2" t="s">
        <v>23</v>
      </c>
      <c r="N2" t="s">
        <v>19</v>
      </c>
      <c r="O2" t="s">
        <v>84</v>
      </c>
      <c r="Q2" t="s">
        <v>87</v>
      </c>
    </row>
    <row r="3" spans="1:17">
      <c r="A3">
        <v>202407</v>
      </c>
      <c r="B3">
        <v>875062</v>
      </c>
      <c r="C3" t="s">
        <v>197</v>
      </c>
      <c r="D3">
        <v>250</v>
      </c>
      <c r="E3" t="s">
        <v>190</v>
      </c>
      <c r="F3" t="s">
        <v>194</v>
      </c>
      <c r="G3" t="s">
        <v>191</v>
      </c>
      <c r="H3" t="s">
        <v>192</v>
      </c>
      <c r="I3" t="s">
        <v>198</v>
      </c>
      <c r="J3" t="s">
        <v>193</v>
      </c>
      <c r="K3" t="s">
        <v>194</v>
      </c>
      <c r="L3" t="s">
        <v>195</v>
      </c>
      <c r="M3">
        <v>20377</v>
      </c>
      <c r="O3" t="e">
        <f>VLOOKUP(K3,'On Time'!A:S,19,0)</f>
        <v>#N/A</v>
      </c>
      <c r="Q3" t="e">
        <f>VLOOKUP(K3,'On Time'!A:W,23,0)</f>
        <v>#N/A</v>
      </c>
    </row>
    <row r="4" spans="1:17">
      <c r="A4">
        <v>202407</v>
      </c>
      <c r="B4">
        <v>875062</v>
      </c>
      <c r="C4" t="s">
        <v>197</v>
      </c>
      <c r="D4">
        <v>250</v>
      </c>
      <c r="E4" t="s">
        <v>178</v>
      </c>
      <c r="F4" t="s">
        <v>39</v>
      </c>
      <c r="G4" t="s">
        <v>179</v>
      </c>
      <c r="H4" t="s">
        <v>103</v>
      </c>
      <c r="I4" t="s">
        <v>199</v>
      </c>
      <c r="J4" t="s">
        <v>99</v>
      </c>
      <c r="K4" t="s">
        <v>39</v>
      </c>
      <c r="L4" t="s">
        <v>40</v>
      </c>
      <c r="M4">
        <v>20377</v>
      </c>
      <c r="O4" t="str">
        <f>VLOOKUP(K4,'On Time'!A:S,19,0)</f>
        <v>08/02/2024 05:56 PM</v>
      </c>
      <c r="Q4" t="str">
        <f>VLOOKUP(K4,'On Time'!A:W,23,0)</f>
        <v>07/31/2024 02:47 PM</v>
      </c>
    </row>
    <row r="5" spans="1:17" hidden="1">
      <c r="A5">
        <v>202407</v>
      </c>
      <c r="B5">
        <v>875062</v>
      </c>
      <c r="C5" t="s">
        <v>197</v>
      </c>
      <c r="D5">
        <v>0</v>
      </c>
      <c r="E5" t="s">
        <v>178</v>
      </c>
      <c r="F5" t="s">
        <v>39</v>
      </c>
      <c r="G5" t="s">
        <v>179</v>
      </c>
      <c r="H5" t="s">
        <v>182</v>
      </c>
      <c r="I5" t="s">
        <v>200</v>
      </c>
      <c r="J5" t="s">
        <v>183</v>
      </c>
      <c r="K5" t="s">
        <v>39</v>
      </c>
      <c r="L5" t="s">
        <v>40</v>
      </c>
      <c r="M5">
        <v>20377</v>
      </c>
      <c r="O5" t="str">
        <f>VLOOKUP(K5,'On Time'!A:S,19,0)</f>
        <v>08/02/2024 05:56 PM</v>
      </c>
      <c r="Q5" t="str">
        <f>VLOOKUP(K5,'On Time'!A:W,23,0)</f>
        <v>07/31/2024 02:47 PM</v>
      </c>
    </row>
    <row r="6" spans="1:17" hidden="1">
      <c r="A6">
        <v>202407</v>
      </c>
      <c r="B6">
        <v>875062</v>
      </c>
      <c r="C6" t="s">
        <v>197</v>
      </c>
      <c r="D6">
        <v>0</v>
      </c>
      <c r="E6" t="s">
        <v>178</v>
      </c>
      <c r="F6" t="s">
        <v>46</v>
      </c>
      <c r="G6" t="s">
        <v>179</v>
      </c>
      <c r="H6" t="s">
        <v>103</v>
      </c>
      <c r="I6" t="s">
        <v>199</v>
      </c>
      <c r="J6" t="s">
        <v>99</v>
      </c>
      <c r="K6" t="s">
        <v>46</v>
      </c>
      <c r="L6" t="s">
        <v>40</v>
      </c>
      <c r="M6">
        <v>20377</v>
      </c>
      <c r="O6" t="str">
        <f>VLOOKUP(K6,'On Time'!A:S,19,0)</f>
        <v>07/30/2024 10:35 AM</v>
      </c>
      <c r="Q6" t="str">
        <f>VLOOKUP(K6,'On Time'!A:W,23,0)</f>
        <v>07/31/2024 02:47 PM</v>
      </c>
    </row>
    <row r="7" spans="1:17" hidden="1">
      <c r="A7">
        <v>202407</v>
      </c>
      <c r="B7">
        <v>875062</v>
      </c>
      <c r="C7" t="s">
        <v>197</v>
      </c>
      <c r="D7">
        <v>0</v>
      </c>
      <c r="E7" t="s">
        <v>178</v>
      </c>
      <c r="F7" t="s">
        <v>46</v>
      </c>
      <c r="G7" t="s">
        <v>179</v>
      </c>
      <c r="H7" t="s">
        <v>180</v>
      </c>
      <c r="I7" t="s">
        <v>200</v>
      </c>
      <c r="J7" t="s">
        <v>181</v>
      </c>
      <c r="K7" t="s">
        <v>46</v>
      </c>
      <c r="L7" t="s">
        <v>40</v>
      </c>
      <c r="M7">
        <v>20377</v>
      </c>
      <c r="O7" t="str">
        <f>VLOOKUP(K7,'On Time'!A:S,19,0)</f>
        <v>07/30/2024 10:35 AM</v>
      </c>
      <c r="Q7" t="str">
        <f>VLOOKUP(K7,'On Time'!A:W,23,0)</f>
        <v>07/31/2024 02:47 PM</v>
      </c>
    </row>
    <row r="8" spans="1:17" hidden="1">
      <c r="A8">
        <v>202407</v>
      </c>
      <c r="B8">
        <v>875062</v>
      </c>
      <c r="C8" t="s">
        <v>197</v>
      </c>
      <c r="D8">
        <v>0</v>
      </c>
      <c r="E8" t="s">
        <v>178</v>
      </c>
      <c r="F8" t="s">
        <v>50</v>
      </c>
      <c r="G8" t="s">
        <v>179</v>
      </c>
      <c r="H8" t="s">
        <v>103</v>
      </c>
      <c r="I8" t="s">
        <v>199</v>
      </c>
      <c r="J8" t="s">
        <v>99</v>
      </c>
      <c r="K8" t="s">
        <v>50</v>
      </c>
      <c r="L8" t="s">
        <v>40</v>
      </c>
      <c r="M8">
        <v>20377</v>
      </c>
      <c r="O8" t="str">
        <f>VLOOKUP(K8,'On Time'!A:S,19,0)</f>
        <v>08/02/2024 12:49 PM</v>
      </c>
      <c r="Q8" t="str">
        <f>VLOOKUP(K8,'On Time'!A:W,23,0)</f>
        <v>07/31/2024 02:47 PM</v>
      </c>
    </row>
    <row r="9" spans="1:17" hidden="1">
      <c r="A9">
        <v>202407</v>
      </c>
      <c r="B9">
        <v>875062</v>
      </c>
      <c r="C9" t="s">
        <v>197</v>
      </c>
      <c r="D9">
        <v>0</v>
      </c>
      <c r="E9" t="s">
        <v>178</v>
      </c>
      <c r="F9" t="s">
        <v>50</v>
      </c>
      <c r="G9" t="s">
        <v>179</v>
      </c>
      <c r="H9" t="s">
        <v>184</v>
      </c>
      <c r="I9" t="s">
        <v>200</v>
      </c>
      <c r="J9" t="s">
        <v>185</v>
      </c>
      <c r="K9" t="s">
        <v>50</v>
      </c>
      <c r="L9" t="s">
        <v>40</v>
      </c>
      <c r="M9">
        <v>20377</v>
      </c>
      <c r="O9" t="str">
        <f>VLOOKUP(K9,'On Time'!A:S,19,0)</f>
        <v>08/02/2024 12:49 PM</v>
      </c>
      <c r="Q9" t="str">
        <f>VLOOKUP(K9,'On Time'!A:W,23,0)</f>
        <v>07/31/2024 02:47 PM</v>
      </c>
    </row>
    <row r="10" spans="1:17">
      <c r="A10">
        <v>202407</v>
      </c>
      <c r="B10">
        <v>875062</v>
      </c>
      <c r="C10" t="s">
        <v>197</v>
      </c>
      <c r="D10">
        <v>250</v>
      </c>
      <c r="E10" t="s">
        <v>186</v>
      </c>
      <c r="F10" t="s">
        <v>59</v>
      </c>
      <c r="G10" t="s">
        <v>187</v>
      </c>
      <c r="H10" t="s">
        <v>188</v>
      </c>
      <c r="I10" t="s">
        <v>200</v>
      </c>
      <c r="J10" t="s">
        <v>189</v>
      </c>
      <c r="K10" t="s">
        <v>59</v>
      </c>
      <c r="L10" t="s">
        <v>56</v>
      </c>
      <c r="M10">
        <v>20377</v>
      </c>
      <c r="O10" t="e">
        <f>VLOOKUP(K10,'On Time'!A:S,19,0)</f>
        <v>#N/A</v>
      </c>
      <c r="Q10" t="e">
        <f>VLOOKUP(K10,'On Time'!A:W,23,0)</f>
        <v>#N/A</v>
      </c>
    </row>
  </sheetData>
  <autoFilter ref="A2:Q10" xr:uid="{00000000-0001-0000-0400-000000000000}">
    <filterColumn colId="3">
      <filters>
        <filter val="250"/>
      </filters>
    </filterColumn>
  </autoFilter>
  <pageMargins left="0.7" right="0.7" top="0.75" bottom="0.75" header="0.3" footer="0.3"/>
  <ignoredErrors>
    <ignoredError sqref="G1:N10 A1:E1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2"/>
  <sheetViews>
    <sheetView workbookViewId="0"/>
  </sheetViews>
  <sheetFormatPr defaultRowHeight="15.75"/>
  <sheetData>
    <row r="1" spans="1:1">
      <c r="A1" t="s">
        <v>168</v>
      </c>
    </row>
    <row r="2" spans="1:1">
      <c r="A2" t="s">
        <v>201</v>
      </c>
    </row>
  </sheetData>
  <pageMargins left="0.7" right="0.7" top="0.75" bottom="0.75" header="0.3" footer="0.3"/>
  <ignoredErrors>
    <ignoredError sqref="A1:A2"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Jon Brulotte</cp:lastModifiedBy>
  <cp:revision/>
  <dcterms:created xsi:type="dcterms:W3CDTF">2024-09-04T23:12:06Z</dcterms:created>
  <dcterms:modified xsi:type="dcterms:W3CDTF">2024-09-16T19:04:32Z</dcterms:modified>
  <cp:category/>
  <cp:contentStatus/>
</cp:coreProperties>
</file>